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N6" i="3"/>
  <c r="N7" i="3"/>
  <c r="N8" i="3"/>
  <c r="N4" i="3"/>
  <c r="M5" i="3"/>
  <c r="M6" i="3"/>
  <c r="M7" i="3"/>
  <c r="M8" i="3"/>
  <c r="M4" i="3"/>
  <c r="L5" i="3"/>
  <c r="L6" i="3"/>
  <c r="L7" i="3"/>
  <c r="L8" i="3"/>
  <c r="L4" i="3"/>
  <c r="I5" i="3"/>
  <c r="I6" i="3"/>
  <c r="I7" i="3"/>
  <c r="I8" i="3"/>
  <c r="I4" i="3"/>
  <c r="F5" i="3"/>
  <c r="F6" i="3"/>
  <c r="F7" i="3"/>
  <c r="F8" i="3"/>
  <c r="F4" i="3"/>
</calcChain>
</file>

<file path=xl/sharedStrings.xml><?xml version="1.0" encoding="utf-8"?>
<sst xmlns="http://schemas.openxmlformats.org/spreadsheetml/2006/main" count="25" uniqueCount="24">
  <si>
    <t>年</t>
  </si>
  <si>
    <t>月</t>
  </si>
  <si>
    <t>日</t>
  </si>
  <si>
    <t>日期</t>
  </si>
  <si>
    <t>将日期的年月日提取出来</t>
  </si>
  <si>
    <t>2020/10/32</t>
  </si>
  <si>
    <t>2019/05/01</t>
  </si>
  <si>
    <t>2018-04-01</t>
  </si>
  <si>
    <t>2018-12-11</t>
  </si>
  <si>
    <t>上个月的最后一天</t>
  </si>
  <si>
    <t>项目</t>
    <phoneticPr fontId="1" type="noConversion"/>
  </si>
  <si>
    <t>预计完成日期</t>
    <phoneticPr fontId="1" type="noConversion"/>
  </si>
  <si>
    <t>实际完成日期</t>
    <phoneticPr fontId="1" type="noConversion"/>
  </si>
  <si>
    <t>项目A</t>
    <phoneticPr fontId="1" type="noConversion"/>
  </si>
  <si>
    <t>项目B</t>
    <phoneticPr fontId="1" type="noConversion"/>
  </si>
  <si>
    <t>项目C</t>
    <phoneticPr fontId="1" type="noConversion"/>
  </si>
  <si>
    <t>项目D</t>
    <phoneticPr fontId="1" type="noConversion"/>
  </si>
  <si>
    <t>完善下面的报表</t>
    <phoneticPr fontId="1" type="noConversion"/>
  </si>
  <si>
    <t>项目F</t>
    <phoneticPr fontId="1" type="noConversion"/>
  </si>
  <si>
    <t>预算</t>
    <phoneticPr fontId="1" type="noConversion"/>
  </si>
  <si>
    <t>是否在预计日期左右5天</t>
    <phoneticPr fontId="1" type="noConversion"/>
  </si>
  <si>
    <t>获取上个月的最后一天（格式化为“2000年01月01日”格式）</t>
    <phoneticPr fontId="1" type="noConversion"/>
  </si>
  <si>
    <t>2000/13/13</t>
    <phoneticPr fontId="1" type="noConversion"/>
  </si>
  <si>
    <t>助理老师邮箱：mongjoy@163.com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</si>
</sst>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43" formatCode="_ * #,##0.00_ ;_ * \-#,##0.00_ ;_ * &quot;-&quot;??_ ;_ @_ "/>
    <numFmt numFmtId="176" formatCode="[$-F800]dddd\,\ mmmm\ dd\,\ yyyy"/>
    <numFmt numFmtId="178" formatCode="yyyy&quot;年&quot;mm&quot;月&quot;dd&quot;日&quot;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0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  <xf numFmtId="43" fontId="7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3" fontId="2" fillId="0" borderId="2" xfId="9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0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千位分隔" xfId="9" builtinId="3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"/>
  <sheetViews>
    <sheetView showGridLines="0" tabSelected="1" workbookViewId="0">
      <selection activeCell="D18" sqref="D18"/>
    </sheetView>
  </sheetViews>
  <sheetFormatPr defaultColWidth="16.125" defaultRowHeight="21" customHeight="1" x14ac:dyDescent="0.2"/>
  <cols>
    <col min="1" max="1" width="1.375" style="1" customWidth="1"/>
    <col min="2" max="2" width="9.625" style="1" customWidth="1"/>
    <col min="3" max="3" width="11.5" style="1" customWidth="1"/>
    <col min="4" max="5" width="16.125" style="1"/>
    <col min="6" max="6" width="21.75" style="1" customWidth="1"/>
    <col min="7" max="7" width="1.25" style="1" customWidth="1"/>
    <col min="8" max="8" width="25.75" style="1" customWidth="1"/>
    <col min="9" max="9" width="27.625" style="1" customWidth="1"/>
    <col min="10" max="10" width="1.25" style="1" customWidth="1"/>
    <col min="11" max="11" width="16.125" style="1"/>
    <col min="12" max="14" width="10.375" style="1" customWidth="1"/>
    <col min="15" max="16384" width="16.125" style="1"/>
  </cols>
  <sheetData>
    <row r="1" spans="2:14" ht="7.5" customHeight="1" x14ac:dyDescent="0.2"/>
    <row r="2" spans="2:14" ht="33" customHeight="1" x14ac:dyDescent="0.2">
      <c r="B2" s="9" t="s">
        <v>17</v>
      </c>
      <c r="C2" s="9"/>
      <c r="D2" s="9"/>
      <c r="E2" s="9"/>
      <c r="F2" s="9"/>
      <c r="H2" s="9" t="s">
        <v>21</v>
      </c>
      <c r="I2" s="9"/>
      <c r="K2" s="10" t="s">
        <v>4</v>
      </c>
      <c r="L2" s="10"/>
      <c r="M2" s="10"/>
      <c r="N2" s="10"/>
    </row>
    <row r="3" spans="2:14" ht="27.75" customHeight="1" x14ac:dyDescent="0.2">
      <c r="B3" s="4" t="s">
        <v>10</v>
      </c>
      <c r="C3" s="4" t="s">
        <v>19</v>
      </c>
      <c r="D3" s="4" t="s">
        <v>11</v>
      </c>
      <c r="E3" s="4" t="s">
        <v>12</v>
      </c>
      <c r="F3" s="4" t="s">
        <v>20</v>
      </c>
      <c r="H3" s="4" t="s">
        <v>3</v>
      </c>
      <c r="I3" s="4" t="s">
        <v>9</v>
      </c>
      <c r="K3" s="6" t="s">
        <v>3</v>
      </c>
      <c r="L3" s="6" t="s">
        <v>0</v>
      </c>
      <c r="M3" s="6" t="s">
        <v>1</v>
      </c>
      <c r="N3" s="6" t="s">
        <v>2</v>
      </c>
    </row>
    <row r="4" spans="2:14" ht="27.75" customHeight="1" x14ac:dyDescent="0.2">
      <c r="B4" s="2" t="s">
        <v>13</v>
      </c>
      <c r="C4" s="5">
        <v>17907</v>
      </c>
      <c r="D4" s="3">
        <v>43466</v>
      </c>
      <c r="E4" s="3">
        <v>43461</v>
      </c>
      <c r="F4" s="2" t="str">
        <f>IF(ABS(D4-E4)&lt;=5,"是","否")</f>
        <v>是</v>
      </c>
      <c r="H4" s="3">
        <v>43101</v>
      </c>
      <c r="I4" s="8">
        <f>EOMONTH(H4,-1)</f>
        <v>43100</v>
      </c>
      <c r="K4" s="7" t="s">
        <v>5</v>
      </c>
      <c r="L4" s="7" t="e">
        <f>YEAR(K4)</f>
        <v>#VALUE!</v>
      </c>
      <c r="M4" s="7" t="e">
        <f>MONTH(K4)</f>
        <v>#VALUE!</v>
      </c>
      <c r="N4" s="7" t="e">
        <f>DAY(K4)</f>
        <v>#VALUE!</v>
      </c>
    </row>
    <row r="5" spans="2:14" ht="27.75" customHeight="1" x14ac:dyDescent="0.2">
      <c r="B5" s="2" t="s">
        <v>14</v>
      </c>
      <c r="C5" s="5">
        <v>91569</v>
      </c>
      <c r="D5" s="3">
        <v>43498</v>
      </c>
      <c r="E5" s="3">
        <v>43501</v>
      </c>
      <c r="F5" s="2" t="str">
        <f t="shared" ref="F5:F8" si="0">IF(ABS(D5-E5)&lt;=5,"是","否")</f>
        <v>是</v>
      </c>
      <c r="H5" s="3">
        <v>43221</v>
      </c>
      <c r="I5" s="8">
        <f t="shared" ref="I5:I8" si="1">EOMONTH(H5,-1)</f>
        <v>43220</v>
      </c>
      <c r="K5" s="7" t="s">
        <v>6</v>
      </c>
      <c r="L5" s="7">
        <f t="shared" ref="L5:L8" si="2">YEAR(K5)</f>
        <v>2019</v>
      </c>
      <c r="M5" s="7">
        <f t="shared" ref="M5:M8" si="3">MONTH(K5)</f>
        <v>5</v>
      </c>
      <c r="N5" s="7">
        <f t="shared" ref="N5:N8" si="4">DAY(K5)</f>
        <v>1</v>
      </c>
    </row>
    <row r="6" spans="2:14" ht="27.75" customHeight="1" x14ac:dyDescent="0.2">
      <c r="B6" s="2" t="s">
        <v>15</v>
      </c>
      <c r="C6" s="5">
        <v>53377</v>
      </c>
      <c r="D6" s="3">
        <v>43556</v>
      </c>
      <c r="E6" s="3">
        <v>43561</v>
      </c>
      <c r="F6" s="2" t="str">
        <f t="shared" si="0"/>
        <v>是</v>
      </c>
      <c r="H6" s="3">
        <v>43244</v>
      </c>
      <c r="I6" s="8">
        <f t="shared" si="1"/>
        <v>43220</v>
      </c>
      <c r="K6" s="7" t="s">
        <v>7</v>
      </c>
      <c r="L6" s="7">
        <f t="shared" si="2"/>
        <v>2018</v>
      </c>
      <c r="M6" s="7">
        <f t="shared" si="3"/>
        <v>4</v>
      </c>
      <c r="N6" s="7">
        <f t="shared" si="4"/>
        <v>1</v>
      </c>
    </row>
    <row r="7" spans="2:14" ht="27.75" customHeight="1" x14ac:dyDescent="0.2">
      <c r="B7" s="2" t="s">
        <v>16</v>
      </c>
      <c r="C7" s="5">
        <v>52148</v>
      </c>
      <c r="D7" s="3">
        <v>43748</v>
      </c>
      <c r="E7" s="3">
        <v>43750</v>
      </c>
      <c r="F7" s="2" t="str">
        <f t="shared" si="0"/>
        <v>是</v>
      </c>
      <c r="H7" s="3">
        <v>43809</v>
      </c>
      <c r="I7" s="8">
        <f t="shared" si="1"/>
        <v>43799</v>
      </c>
      <c r="K7" s="7" t="s">
        <v>8</v>
      </c>
      <c r="L7" s="7">
        <f t="shared" si="2"/>
        <v>2018</v>
      </c>
      <c r="M7" s="7">
        <f t="shared" si="3"/>
        <v>12</v>
      </c>
      <c r="N7" s="7">
        <f t="shared" si="4"/>
        <v>11</v>
      </c>
    </row>
    <row r="8" spans="2:14" ht="27.75" customHeight="1" x14ac:dyDescent="0.2">
      <c r="B8" s="2" t="s">
        <v>18</v>
      </c>
      <c r="C8" s="5">
        <v>34876</v>
      </c>
      <c r="D8" s="3">
        <v>43516</v>
      </c>
      <c r="E8" s="3">
        <v>43480</v>
      </c>
      <c r="F8" s="2" t="str">
        <f t="shared" si="0"/>
        <v>否</v>
      </c>
      <c r="H8" s="3">
        <v>43748</v>
      </c>
      <c r="I8" s="8">
        <f t="shared" si="1"/>
        <v>43738</v>
      </c>
      <c r="K8" s="7" t="s">
        <v>22</v>
      </c>
      <c r="L8" s="7" t="e">
        <f t="shared" si="2"/>
        <v>#VALUE!</v>
      </c>
      <c r="M8" s="7" t="e">
        <f t="shared" si="3"/>
        <v>#VALUE!</v>
      </c>
      <c r="N8" s="7" t="e">
        <f t="shared" si="4"/>
        <v>#VALUE!</v>
      </c>
    </row>
    <row r="10" spans="2:14" ht="21" customHeight="1" x14ac:dyDescent="0.2">
      <c r="H10" s="11" t="s">
        <v>23</v>
      </c>
      <c r="I10" s="12"/>
    </row>
    <row r="11" spans="2:14" ht="21" customHeight="1" x14ac:dyDescent="0.2">
      <c r="H11" s="13"/>
      <c r="I11" s="14"/>
    </row>
  </sheetData>
  <mergeCells count="4">
    <mergeCell ref="B2:F2"/>
    <mergeCell ref="H2:I2"/>
    <mergeCell ref="K2:N2"/>
    <mergeCell ref="H10:I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2019-03-01T15:14:49Z</dcterms:modified>
</cp:coreProperties>
</file>