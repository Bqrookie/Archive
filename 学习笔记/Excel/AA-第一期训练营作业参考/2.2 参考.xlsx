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参考\"/>
    </mc:Choice>
  </mc:AlternateContent>
  <bookViews>
    <workbookView xWindow="0" yWindow="0" windowWidth="22260" windowHeight="12645"/>
  </bookViews>
  <sheets>
    <sheet name="练习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3" l="1"/>
  <c r="P6" i="3"/>
  <c r="P7" i="3"/>
  <c r="P8" i="3"/>
  <c r="P9" i="3"/>
  <c r="P10" i="3"/>
  <c r="P11" i="3"/>
  <c r="P12" i="3"/>
  <c r="P13" i="3"/>
  <c r="P14" i="3"/>
  <c r="P4" i="3"/>
  <c r="V5" i="3"/>
  <c r="V6" i="3"/>
  <c r="V7" i="3"/>
  <c r="V8" i="3"/>
  <c r="V9" i="3"/>
  <c r="V10" i="3"/>
  <c r="V11" i="3"/>
  <c r="V12" i="3"/>
  <c r="V13" i="3"/>
  <c r="V14" i="3"/>
  <c r="V4" i="3"/>
  <c r="L5" i="3"/>
  <c r="L6" i="3"/>
  <c r="L7" i="3"/>
  <c r="L8" i="3"/>
  <c r="L9" i="3"/>
  <c r="L10" i="3"/>
  <c r="L11" i="3"/>
  <c r="L12" i="3"/>
  <c r="L13" i="3"/>
  <c r="L14" i="3"/>
  <c r="L4" i="3"/>
  <c r="G5" i="3"/>
  <c r="G6" i="3"/>
  <c r="G7" i="3"/>
  <c r="G8" i="3"/>
  <c r="G9" i="3"/>
  <c r="G10" i="3"/>
  <c r="G11" i="3"/>
  <c r="G12" i="3"/>
  <c r="G13" i="3"/>
  <c r="G14" i="3"/>
  <c r="G4" i="3"/>
  <c r="U9" i="3" l="1"/>
  <c r="U10" i="3"/>
  <c r="U11" i="3"/>
  <c r="U12" i="3"/>
  <c r="U14" i="3"/>
  <c r="U5" i="3"/>
  <c r="U6" i="3"/>
  <c r="U7" i="3"/>
  <c r="U8" i="3"/>
  <c r="U13" i="3"/>
  <c r="U4" i="3"/>
</calcChain>
</file>

<file path=xl/sharedStrings.xml><?xml version="1.0" encoding="utf-8"?>
<sst xmlns="http://schemas.openxmlformats.org/spreadsheetml/2006/main" count="79" uniqueCount="45">
  <si>
    <t>语文成绩</t>
    <phoneticPr fontId="1" type="noConversion"/>
  </si>
  <si>
    <t>孔晶婧</t>
  </si>
  <si>
    <t>贾尔雅</t>
  </si>
  <si>
    <t>夏米雪</t>
  </si>
  <si>
    <t>郝凝旋</t>
  </si>
  <si>
    <t>萧则悦</t>
  </si>
  <si>
    <t>潘傲丝</t>
  </si>
  <si>
    <t>韩善玲</t>
  </si>
  <si>
    <t>贾芳馨</t>
  </si>
  <si>
    <t>范悦宜</t>
  </si>
  <si>
    <t>顾大梅</t>
  </si>
  <si>
    <t>孔代珊</t>
  </si>
  <si>
    <t>等级</t>
    <phoneticPr fontId="1" type="noConversion"/>
  </si>
  <si>
    <t>是否及格</t>
    <phoneticPr fontId="1" type="noConversion"/>
  </si>
  <si>
    <t>学号</t>
    <phoneticPr fontId="1" type="noConversion"/>
  </si>
  <si>
    <t>姓名</t>
    <phoneticPr fontId="1" type="noConversion"/>
  </si>
  <si>
    <t>数学成绩</t>
    <phoneticPr fontId="1" type="noConversion"/>
  </si>
  <si>
    <t>英语成绩</t>
    <phoneticPr fontId="1" type="noConversion"/>
  </si>
  <si>
    <t>语文和数学两门都及格或者英语及格，就算及格</t>
    <phoneticPr fontId="1" type="noConversion"/>
  </si>
  <si>
    <t>&lt;60为不及格，60-80为中等，80-90为良好，90-100为优秀</t>
    <phoneticPr fontId="1" type="noConversion"/>
  </si>
  <si>
    <t>支持IFS的使用IFS，不支持的使用IF</t>
    <phoneticPr fontId="1" type="noConversion"/>
  </si>
  <si>
    <t>老虎</t>
  </si>
  <si>
    <t>猴子</t>
  </si>
  <si>
    <t>判断对象</t>
    <phoneticPr fontId="1" type="noConversion"/>
  </si>
  <si>
    <t>是否为大王</t>
    <phoneticPr fontId="1" type="noConversion"/>
  </si>
  <si>
    <t>山中</t>
    <phoneticPr fontId="1" type="noConversion"/>
  </si>
  <si>
    <t>根据“山中无老虎，猴子是大王”，判断是否为大王（方法1）</t>
    <phoneticPr fontId="1" type="noConversion"/>
  </si>
  <si>
    <t>助理老师邮箱：mongjoy@163.com</t>
    <phoneticPr fontId="1" type="noConversion"/>
  </si>
  <si>
    <t>将增减率在2%左右波动的标记为正常，其他的标记为非正常</t>
    <phoneticPr fontId="1" type="noConversion"/>
  </si>
  <si>
    <t>费用项目</t>
    <phoneticPr fontId="1" type="noConversion"/>
  </si>
  <si>
    <t>预算</t>
    <phoneticPr fontId="1" type="noConversion"/>
  </si>
  <si>
    <t>实际</t>
    <phoneticPr fontId="1" type="noConversion"/>
  </si>
  <si>
    <t>增减率</t>
    <phoneticPr fontId="1" type="noConversion"/>
  </si>
  <si>
    <t>备注</t>
    <phoneticPr fontId="1" type="noConversion"/>
  </si>
  <si>
    <t>项目A</t>
    <phoneticPr fontId="1" type="noConversion"/>
  </si>
  <si>
    <t>项目B</t>
    <phoneticPr fontId="1" type="noConversion"/>
  </si>
  <si>
    <t>项目C</t>
    <phoneticPr fontId="1" type="noConversion"/>
  </si>
  <si>
    <t>项目D</t>
    <phoneticPr fontId="1" type="noConversion"/>
  </si>
  <si>
    <t>项目E</t>
    <phoneticPr fontId="1" type="noConversion"/>
  </si>
  <si>
    <t>项目F</t>
    <phoneticPr fontId="1" type="noConversion"/>
  </si>
  <si>
    <t>项目G</t>
    <phoneticPr fontId="1" type="noConversion"/>
  </si>
  <si>
    <t>项目H</t>
    <phoneticPr fontId="1" type="noConversion"/>
  </si>
  <si>
    <t>项目I</t>
    <phoneticPr fontId="1" type="noConversion"/>
  </si>
  <si>
    <t>项目J</t>
    <phoneticPr fontId="1" type="noConversion"/>
  </si>
  <si>
    <t>项目K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</si>
</sst>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color theme="1"/>
      <name val="等线"/>
      <family val="2"/>
      <scheme val="minor"/>
    </font>
    <font>
      <b/>
      <sz val="11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0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  <xf numFmtId="9" fontId="7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9" fontId="2" fillId="0" borderId="2" xfId="9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0">
    <cellStyle name="百分比" xfId="9" builtinId="5"/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9"/>
  <sheetViews>
    <sheetView tabSelected="1" workbookViewId="0">
      <selection activeCell="O15" sqref="O15"/>
    </sheetView>
  </sheetViews>
  <sheetFormatPr defaultColWidth="10" defaultRowHeight="19.5" customHeight="1" x14ac:dyDescent="0.2"/>
  <cols>
    <col min="1" max="1" width="1.125" style="1" customWidth="1"/>
    <col min="2" max="7" width="10" style="1"/>
    <col min="8" max="8" width="1.25" style="1" customWidth="1"/>
    <col min="9" max="11" width="13.25" style="1" customWidth="1"/>
    <col min="12" max="12" width="14.625" style="1" customWidth="1"/>
    <col min="13" max="13" width="0.875" style="1" customWidth="1"/>
    <col min="14" max="14" width="15.875" style="1" customWidth="1"/>
    <col min="15" max="15" width="14" style="1" customWidth="1"/>
    <col min="16" max="16" width="25.25" style="1" customWidth="1"/>
    <col min="17" max="17" width="1.125" style="1" customWidth="1"/>
    <col min="18" max="22" width="13.75" style="1" customWidth="1"/>
    <col min="23" max="16384" width="10" style="1"/>
  </cols>
  <sheetData>
    <row r="1" spans="2:22" ht="6.75" customHeight="1" x14ac:dyDescent="0.2"/>
    <row r="2" spans="2:22" ht="25.5" customHeight="1" x14ac:dyDescent="0.2">
      <c r="B2" s="9" t="s">
        <v>18</v>
      </c>
      <c r="C2" s="9"/>
      <c r="D2" s="9"/>
      <c r="E2" s="9"/>
      <c r="F2" s="9"/>
      <c r="G2" s="9"/>
      <c r="I2" s="6" t="s">
        <v>19</v>
      </c>
      <c r="J2" s="7"/>
      <c r="K2" s="7"/>
      <c r="L2" s="8"/>
      <c r="N2" s="9" t="s">
        <v>26</v>
      </c>
      <c r="O2" s="9"/>
      <c r="P2" s="9"/>
      <c r="Q2" s="4"/>
      <c r="R2" s="9" t="s">
        <v>28</v>
      </c>
      <c r="S2" s="9"/>
      <c r="T2" s="9"/>
      <c r="U2" s="9"/>
      <c r="V2" s="9"/>
    </row>
    <row r="3" spans="2:22" ht="21.75" customHeight="1" x14ac:dyDescent="0.2">
      <c r="B3" s="3" t="s">
        <v>14</v>
      </c>
      <c r="C3" s="3" t="s">
        <v>15</v>
      </c>
      <c r="D3" s="3" t="s">
        <v>0</v>
      </c>
      <c r="E3" s="3" t="s">
        <v>16</v>
      </c>
      <c r="F3" s="3" t="s">
        <v>17</v>
      </c>
      <c r="G3" s="3" t="s">
        <v>13</v>
      </c>
      <c r="I3" s="3" t="s">
        <v>14</v>
      </c>
      <c r="J3" s="3" t="s">
        <v>15</v>
      </c>
      <c r="K3" s="3" t="s">
        <v>0</v>
      </c>
      <c r="L3" s="3" t="s">
        <v>12</v>
      </c>
      <c r="N3" s="3" t="s">
        <v>25</v>
      </c>
      <c r="O3" s="3" t="s">
        <v>23</v>
      </c>
      <c r="P3" s="3" t="s">
        <v>24</v>
      </c>
      <c r="R3" s="3" t="s">
        <v>29</v>
      </c>
      <c r="S3" s="3" t="s">
        <v>30</v>
      </c>
      <c r="T3" s="3" t="s">
        <v>31</v>
      </c>
      <c r="U3" s="3" t="s">
        <v>32</v>
      </c>
      <c r="V3" s="3" t="s">
        <v>33</v>
      </c>
    </row>
    <row r="4" spans="2:22" ht="19.5" customHeight="1" x14ac:dyDescent="0.2">
      <c r="B4" s="2">
        <v>1</v>
      </c>
      <c r="C4" s="2" t="s">
        <v>1</v>
      </c>
      <c r="D4" s="2">
        <v>98</v>
      </c>
      <c r="E4" s="2">
        <v>14</v>
      </c>
      <c r="F4" s="2">
        <v>10</v>
      </c>
      <c r="G4" s="2" t="str">
        <f>IF(OR(AND(D4&gt;=60,E4&gt;=60),F4&gt;=60),"及格","不及格")</f>
        <v>不及格</v>
      </c>
      <c r="I4" s="2">
        <v>1</v>
      </c>
      <c r="J4" s="2" t="s">
        <v>1</v>
      </c>
      <c r="K4" s="2">
        <v>98</v>
      </c>
      <c r="L4" s="2" t="str">
        <f>IF(K4&lt;60,"不及格",
    IF(K4&lt;80,"中等",
        IF(K4&lt;90,"良好","优秀")))</f>
        <v>优秀</v>
      </c>
      <c r="N4" s="2" t="s">
        <v>21</v>
      </c>
      <c r="O4" s="2" t="s">
        <v>21</v>
      </c>
      <c r="P4" s="2" t="str">
        <f>IF(NOT(N4="老虎"),"是",
    IF(O4="老虎","是","不是"))</f>
        <v>是</v>
      </c>
      <c r="R4" s="2" t="s">
        <v>34</v>
      </c>
      <c r="S4" s="2">
        <v>852</v>
      </c>
      <c r="T4" s="2">
        <v>855</v>
      </c>
      <c r="U4" s="5">
        <f>(S4-T4)/100</f>
        <v>-0.03</v>
      </c>
      <c r="V4" s="2" t="str">
        <f>IF(ABS(U4)&lt;2%,"正常","非正常")</f>
        <v>非正常</v>
      </c>
    </row>
    <row r="5" spans="2:22" ht="19.5" customHeight="1" x14ac:dyDescent="0.2">
      <c r="B5" s="2">
        <v>2</v>
      </c>
      <c r="C5" s="2" t="s">
        <v>2</v>
      </c>
      <c r="D5" s="2">
        <v>21</v>
      </c>
      <c r="E5" s="2">
        <v>92</v>
      </c>
      <c r="F5" s="2">
        <v>2</v>
      </c>
      <c r="G5" s="2" t="str">
        <f t="shared" ref="G5:G14" si="0">IF(OR(AND(D5&gt;=60,E5&gt;=60),F5&gt;=60),"及格","不及格")</f>
        <v>不及格</v>
      </c>
      <c r="I5" s="2">
        <v>2</v>
      </c>
      <c r="J5" s="2" t="s">
        <v>2</v>
      </c>
      <c r="K5" s="2">
        <v>21</v>
      </c>
      <c r="L5" s="2" t="str">
        <f t="shared" ref="L5:L14" si="1">IF(K5&lt;60,"不及格",
    IF(K5&lt;80,"中等",
        IF(K5&lt;90,"良好","优秀")))</f>
        <v>不及格</v>
      </c>
      <c r="N5" s="2" t="s">
        <v>22</v>
      </c>
      <c r="O5" s="2" t="s">
        <v>21</v>
      </c>
      <c r="P5" s="2" t="str">
        <f t="shared" ref="P5:P14" si="2">IF(NOT(N5="老虎"),"是",
    IF(O5="老虎","是","不是"))</f>
        <v>是</v>
      </c>
      <c r="R5" s="2" t="s">
        <v>35</v>
      </c>
      <c r="S5" s="2">
        <v>698</v>
      </c>
      <c r="T5" s="2">
        <v>695</v>
      </c>
      <c r="U5" s="5">
        <f t="shared" ref="U5:U14" si="3">(S5-T5)/100</f>
        <v>0.03</v>
      </c>
      <c r="V5" s="2" t="str">
        <f t="shared" ref="V5:V14" si="4">IF(ABS(U5)&lt;2%,"正常","非正常")</f>
        <v>非正常</v>
      </c>
    </row>
    <row r="6" spans="2:22" ht="19.5" customHeight="1" x14ac:dyDescent="0.2">
      <c r="B6" s="2">
        <v>3</v>
      </c>
      <c r="C6" s="2" t="s">
        <v>3</v>
      </c>
      <c r="D6" s="2">
        <v>58</v>
      </c>
      <c r="E6" s="2">
        <v>9</v>
      </c>
      <c r="F6" s="2">
        <v>77</v>
      </c>
      <c r="G6" s="2" t="str">
        <f t="shared" si="0"/>
        <v>及格</v>
      </c>
      <c r="I6" s="2">
        <v>3</v>
      </c>
      <c r="J6" s="2" t="s">
        <v>3</v>
      </c>
      <c r="K6" s="2">
        <v>58</v>
      </c>
      <c r="L6" s="2" t="str">
        <f t="shared" si="1"/>
        <v>不及格</v>
      </c>
      <c r="N6" s="2" t="s">
        <v>22</v>
      </c>
      <c r="O6" s="2" t="s">
        <v>21</v>
      </c>
      <c r="P6" s="2" t="str">
        <f t="shared" si="2"/>
        <v>是</v>
      </c>
      <c r="R6" s="2" t="s">
        <v>36</v>
      </c>
      <c r="S6" s="2">
        <v>808</v>
      </c>
      <c r="T6" s="2">
        <v>814</v>
      </c>
      <c r="U6" s="5">
        <f t="shared" si="3"/>
        <v>-0.06</v>
      </c>
      <c r="V6" s="2" t="str">
        <f t="shared" si="4"/>
        <v>非正常</v>
      </c>
    </row>
    <row r="7" spans="2:22" ht="19.5" customHeight="1" x14ac:dyDescent="0.2">
      <c r="B7" s="2">
        <v>4</v>
      </c>
      <c r="C7" s="2" t="s">
        <v>4</v>
      </c>
      <c r="D7" s="2">
        <v>58</v>
      </c>
      <c r="E7" s="2">
        <v>34</v>
      </c>
      <c r="F7" s="2">
        <v>31</v>
      </c>
      <c r="G7" s="2" t="str">
        <f t="shared" si="0"/>
        <v>不及格</v>
      </c>
      <c r="I7" s="2">
        <v>4</v>
      </c>
      <c r="J7" s="2" t="s">
        <v>4</v>
      </c>
      <c r="K7" s="2">
        <v>58</v>
      </c>
      <c r="L7" s="2" t="str">
        <f t="shared" si="1"/>
        <v>不及格</v>
      </c>
      <c r="N7" s="2" t="s">
        <v>22</v>
      </c>
      <c r="O7" s="2" t="s">
        <v>22</v>
      </c>
      <c r="P7" s="2" t="str">
        <f t="shared" si="2"/>
        <v>是</v>
      </c>
      <c r="R7" s="2" t="s">
        <v>37</v>
      </c>
      <c r="S7" s="2">
        <v>776</v>
      </c>
      <c r="T7" s="2">
        <v>788</v>
      </c>
      <c r="U7" s="5">
        <f t="shared" si="3"/>
        <v>-0.12</v>
      </c>
      <c r="V7" s="2" t="str">
        <f t="shared" si="4"/>
        <v>非正常</v>
      </c>
    </row>
    <row r="8" spans="2:22" ht="19.5" customHeight="1" x14ac:dyDescent="0.2">
      <c r="B8" s="2">
        <v>5</v>
      </c>
      <c r="C8" s="2" t="s">
        <v>5</v>
      </c>
      <c r="D8" s="2">
        <v>79</v>
      </c>
      <c r="E8" s="2">
        <v>50</v>
      </c>
      <c r="F8" s="2">
        <v>58</v>
      </c>
      <c r="G8" s="2" t="str">
        <f t="shared" si="0"/>
        <v>不及格</v>
      </c>
      <c r="I8" s="2">
        <v>5</v>
      </c>
      <c r="J8" s="2" t="s">
        <v>5</v>
      </c>
      <c r="K8" s="2">
        <v>79</v>
      </c>
      <c r="L8" s="2" t="str">
        <f t="shared" si="1"/>
        <v>中等</v>
      </c>
      <c r="N8" s="2" t="s">
        <v>22</v>
      </c>
      <c r="O8" s="2" t="s">
        <v>22</v>
      </c>
      <c r="P8" s="2" t="str">
        <f t="shared" si="2"/>
        <v>是</v>
      </c>
      <c r="R8" s="2" t="s">
        <v>38</v>
      </c>
      <c r="S8" s="2">
        <v>278</v>
      </c>
      <c r="T8" s="2">
        <v>279</v>
      </c>
      <c r="U8" s="5">
        <f t="shared" si="3"/>
        <v>-0.01</v>
      </c>
      <c r="V8" s="2" t="str">
        <f t="shared" si="4"/>
        <v>正常</v>
      </c>
    </row>
    <row r="9" spans="2:22" ht="19.5" customHeight="1" x14ac:dyDescent="0.2">
      <c r="B9" s="2">
        <v>6</v>
      </c>
      <c r="C9" s="2" t="s">
        <v>6</v>
      </c>
      <c r="D9" s="2">
        <v>13</v>
      </c>
      <c r="E9" s="2">
        <v>62</v>
      </c>
      <c r="F9" s="2">
        <v>10</v>
      </c>
      <c r="G9" s="2" t="str">
        <f t="shared" si="0"/>
        <v>不及格</v>
      </c>
      <c r="I9" s="2">
        <v>6</v>
      </c>
      <c r="J9" s="2" t="s">
        <v>6</v>
      </c>
      <c r="K9" s="2">
        <v>13</v>
      </c>
      <c r="L9" s="2" t="str">
        <f t="shared" si="1"/>
        <v>不及格</v>
      </c>
      <c r="N9" s="2" t="s">
        <v>22</v>
      </c>
      <c r="O9" s="2" t="s">
        <v>22</v>
      </c>
      <c r="P9" s="2" t="str">
        <f t="shared" si="2"/>
        <v>是</v>
      </c>
      <c r="R9" s="2" t="s">
        <v>39</v>
      </c>
      <c r="S9" s="2">
        <v>77</v>
      </c>
      <c r="T9" s="2">
        <v>76</v>
      </c>
      <c r="U9" s="5">
        <f t="shared" si="3"/>
        <v>0.01</v>
      </c>
      <c r="V9" s="2" t="str">
        <f t="shared" si="4"/>
        <v>正常</v>
      </c>
    </row>
    <row r="10" spans="2:22" ht="19.5" customHeight="1" x14ac:dyDescent="0.2">
      <c r="B10" s="2">
        <v>7</v>
      </c>
      <c r="C10" s="2" t="s">
        <v>7</v>
      </c>
      <c r="D10" s="2">
        <v>14</v>
      </c>
      <c r="E10" s="2">
        <v>9</v>
      </c>
      <c r="F10" s="2">
        <v>44</v>
      </c>
      <c r="G10" s="2" t="str">
        <f t="shared" si="0"/>
        <v>不及格</v>
      </c>
      <c r="I10" s="2">
        <v>7</v>
      </c>
      <c r="J10" s="2" t="s">
        <v>7</v>
      </c>
      <c r="K10" s="2">
        <v>14</v>
      </c>
      <c r="L10" s="2" t="str">
        <f t="shared" si="1"/>
        <v>不及格</v>
      </c>
      <c r="N10" s="2" t="s">
        <v>21</v>
      </c>
      <c r="O10" s="2" t="s">
        <v>21</v>
      </c>
      <c r="P10" s="2" t="str">
        <f t="shared" si="2"/>
        <v>是</v>
      </c>
      <c r="R10" s="2" t="s">
        <v>40</v>
      </c>
      <c r="S10" s="2">
        <v>484</v>
      </c>
      <c r="T10" s="2">
        <v>489</v>
      </c>
      <c r="U10" s="5">
        <f t="shared" si="3"/>
        <v>-0.05</v>
      </c>
      <c r="V10" s="2" t="str">
        <f t="shared" si="4"/>
        <v>非正常</v>
      </c>
    </row>
    <row r="11" spans="2:22" ht="19.5" customHeight="1" x14ac:dyDescent="0.2">
      <c r="B11" s="2">
        <v>8</v>
      </c>
      <c r="C11" s="2" t="s">
        <v>8</v>
      </c>
      <c r="D11" s="2">
        <v>38</v>
      </c>
      <c r="E11" s="2">
        <v>23</v>
      </c>
      <c r="F11" s="2">
        <v>32</v>
      </c>
      <c r="G11" s="2" t="str">
        <f t="shared" si="0"/>
        <v>不及格</v>
      </c>
      <c r="I11" s="2">
        <v>8</v>
      </c>
      <c r="J11" s="2" t="s">
        <v>8</v>
      </c>
      <c r="K11" s="2">
        <v>38</v>
      </c>
      <c r="L11" s="2" t="str">
        <f t="shared" si="1"/>
        <v>不及格</v>
      </c>
      <c r="N11" s="2" t="s">
        <v>22</v>
      </c>
      <c r="O11" s="2" t="s">
        <v>21</v>
      </c>
      <c r="P11" s="2" t="str">
        <f t="shared" si="2"/>
        <v>是</v>
      </c>
      <c r="R11" s="2" t="s">
        <v>41</v>
      </c>
      <c r="S11" s="2">
        <v>531</v>
      </c>
      <c r="T11" s="2">
        <v>540</v>
      </c>
      <c r="U11" s="5">
        <f t="shared" si="3"/>
        <v>-0.09</v>
      </c>
      <c r="V11" s="2" t="str">
        <f t="shared" si="4"/>
        <v>非正常</v>
      </c>
    </row>
    <row r="12" spans="2:22" ht="19.5" customHeight="1" x14ac:dyDescent="0.2">
      <c r="B12" s="2">
        <v>9</v>
      </c>
      <c r="C12" s="2" t="s">
        <v>9</v>
      </c>
      <c r="D12" s="2">
        <v>87</v>
      </c>
      <c r="E12" s="2">
        <v>56</v>
      </c>
      <c r="F12" s="2">
        <v>82</v>
      </c>
      <c r="G12" s="2" t="str">
        <f t="shared" si="0"/>
        <v>及格</v>
      </c>
      <c r="I12" s="2">
        <v>9</v>
      </c>
      <c r="J12" s="2" t="s">
        <v>9</v>
      </c>
      <c r="K12" s="2">
        <v>87</v>
      </c>
      <c r="L12" s="2" t="str">
        <f t="shared" si="1"/>
        <v>良好</v>
      </c>
      <c r="N12" s="2" t="s">
        <v>22</v>
      </c>
      <c r="O12" s="2" t="s">
        <v>21</v>
      </c>
      <c r="P12" s="2" t="str">
        <f t="shared" si="2"/>
        <v>是</v>
      </c>
      <c r="R12" s="2" t="s">
        <v>42</v>
      </c>
      <c r="S12" s="2">
        <v>788</v>
      </c>
      <c r="T12" s="2">
        <v>796</v>
      </c>
      <c r="U12" s="5">
        <f t="shared" si="3"/>
        <v>-0.08</v>
      </c>
      <c r="V12" s="2" t="str">
        <f t="shared" si="4"/>
        <v>非正常</v>
      </c>
    </row>
    <row r="13" spans="2:22" ht="19.5" customHeight="1" x14ac:dyDescent="0.2">
      <c r="B13" s="2">
        <v>10</v>
      </c>
      <c r="C13" s="2" t="s">
        <v>10</v>
      </c>
      <c r="D13" s="2">
        <v>29</v>
      </c>
      <c r="E13" s="2">
        <v>28</v>
      </c>
      <c r="F13" s="2">
        <v>79</v>
      </c>
      <c r="G13" s="2" t="str">
        <f t="shared" si="0"/>
        <v>及格</v>
      </c>
      <c r="I13" s="2">
        <v>10</v>
      </c>
      <c r="J13" s="2" t="s">
        <v>10</v>
      </c>
      <c r="K13" s="2">
        <v>29</v>
      </c>
      <c r="L13" s="2" t="str">
        <f t="shared" si="1"/>
        <v>不及格</v>
      </c>
      <c r="N13" s="2" t="s">
        <v>21</v>
      </c>
      <c r="O13" s="2" t="s">
        <v>21</v>
      </c>
      <c r="P13" s="2" t="str">
        <f t="shared" si="2"/>
        <v>是</v>
      </c>
      <c r="R13" s="2" t="s">
        <v>43</v>
      </c>
      <c r="S13" s="2">
        <v>794</v>
      </c>
      <c r="T13" s="2">
        <v>793</v>
      </c>
      <c r="U13" s="5">
        <f t="shared" si="3"/>
        <v>0.01</v>
      </c>
      <c r="V13" s="2" t="str">
        <f t="shared" si="4"/>
        <v>正常</v>
      </c>
    </row>
    <row r="14" spans="2:22" ht="19.5" customHeight="1" x14ac:dyDescent="0.2">
      <c r="B14" s="2">
        <v>11</v>
      </c>
      <c r="C14" s="2" t="s">
        <v>11</v>
      </c>
      <c r="D14" s="2">
        <v>36</v>
      </c>
      <c r="E14" s="2">
        <v>22</v>
      </c>
      <c r="F14" s="2">
        <v>25</v>
      </c>
      <c r="G14" s="2" t="str">
        <f t="shared" si="0"/>
        <v>不及格</v>
      </c>
      <c r="I14" s="2">
        <v>11</v>
      </c>
      <c r="J14" s="2" t="s">
        <v>11</v>
      </c>
      <c r="K14" s="2">
        <v>36</v>
      </c>
      <c r="L14" s="2" t="str">
        <f t="shared" si="1"/>
        <v>不及格</v>
      </c>
      <c r="N14" s="2" t="s">
        <v>22</v>
      </c>
      <c r="O14" s="2" t="s">
        <v>22</v>
      </c>
      <c r="P14" s="2" t="str">
        <f t="shared" si="2"/>
        <v>是</v>
      </c>
      <c r="R14" s="2" t="s">
        <v>44</v>
      </c>
      <c r="S14" s="2">
        <v>258</v>
      </c>
      <c r="T14" s="2">
        <v>257</v>
      </c>
      <c r="U14" s="5">
        <f t="shared" si="3"/>
        <v>0.01</v>
      </c>
      <c r="V14" s="2" t="str">
        <f t="shared" si="4"/>
        <v>正常</v>
      </c>
    </row>
    <row r="15" spans="2:22" ht="19.5" customHeight="1" x14ac:dyDescent="0.2">
      <c r="I15" s="10" t="s">
        <v>20</v>
      </c>
      <c r="J15" s="11"/>
      <c r="K15" s="11"/>
      <c r="L15" s="12"/>
    </row>
    <row r="17" spans="9:12" ht="19.5" customHeight="1" x14ac:dyDescent="0.2">
      <c r="I17" s="13" t="s">
        <v>27</v>
      </c>
      <c r="J17" s="14"/>
      <c r="K17" s="14"/>
      <c r="L17" s="15"/>
    </row>
    <row r="18" spans="9:12" ht="19.5" customHeight="1" x14ac:dyDescent="0.2">
      <c r="I18" s="16"/>
      <c r="J18" s="17"/>
      <c r="K18" s="17"/>
      <c r="L18" s="18"/>
    </row>
    <row r="19" spans="9:12" ht="19.5" customHeight="1" x14ac:dyDescent="0.2">
      <c r="I19" s="19"/>
      <c r="J19" s="20"/>
      <c r="K19" s="20"/>
      <c r="L19" s="21"/>
    </row>
  </sheetData>
  <mergeCells count="6">
    <mergeCell ref="I15:L15"/>
    <mergeCell ref="I17:L19"/>
    <mergeCell ref="R2:V2"/>
    <mergeCell ref="B2:G2"/>
    <mergeCell ref="I2:L2"/>
    <mergeCell ref="N2:P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2019-01-29T06:04:44Z</dcterms:modified>
</cp:coreProperties>
</file>