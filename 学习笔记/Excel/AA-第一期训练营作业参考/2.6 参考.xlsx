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zh\Desktop\芒种学院\第一期训练营-Excel零基础入门\作业提交\AA-第一期训练营作业参考\"/>
    </mc:Choice>
  </mc:AlternateContent>
  <bookViews>
    <workbookView xWindow="0" yWindow="0" windowWidth="22260" windowHeight="12645"/>
  </bookViews>
  <sheets>
    <sheet name="练习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3" i="3" l="1"/>
  <c r="O14" i="3"/>
  <c r="O15" i="3"/>
  <c r="O16" i="3"/>
  <c r="O12" i="3"/>
  <c r="O4" i="3" l="1"/>
  <c r="O5" i="3"/>
  <c r="O6" i="3"/>
  <c r="O7" i="3"/>
  <c r="O8" i="3"/>
  <c r="L5" i="3"/>
  <c r="L6" i="3"/>
  <c r="L7" i="3"/>
  <c r="L8" i="3"/>
  <c r="L4" i="3"/>
  <c r="K5" i="3"/>
  <c r="K6" i="3"/>
  <c r="K7" i="3"/>
  <c r="K8" i="3"/>
  <c r="K4" i="3"/>
  <c r="J5" i="3"/>
  <c r="J6" i="3"/>
  <c r="J7" i="3"/>
  <c r="J8" i="3"/>
  <c r="J4" i="3"/>
  <c r="G5" i="3"/>
  <c r="G6" i="3"/>
  <c r="G7" i="3"/>
  <c r="G8" i="3"/>
  <c r="G4" i="3"/>
  <c r="D5" i="3"/>
  <c r="D6" i="3"/>
  <c r="D7" i="3"/>
  <c r="D8" i="3"/>
  <c r="D4" i="3"/>
  <c r="C5" i="3"/>
  <c r="C6" i="3"/>
  <c r="C7" i="3"/>
  <c r="C8" i="3"/>
  <c r="C4" i="3"/>
</calcChain>
</file>

<file path=xl/sharedStrings.xml><?xml version="1.0" encoding="utf-8"?>
<sst xmlns="http://schemas.openxmlformats.org/spreadsheetml/2006/main" count="44" uniqueCount="42">
  <si>
    <t>截取右边3位</t>
    <phoneticPr fontId="1" type="noConversion"/>
  </si>
  <si>
    <t>字符串</t>
    <phoneticPr fontId="1" type="noConversion"/>
  </si>
  <si>
    <t>字符串截取</t>
    <phoneticPr fontId="1" type="noConversion"/>
  </si>
  <si>
    <t>123456789</t>
    <phoneticPr fontId="1" type="noConversion"/>
  </si>
  <si>
    <t>知识创造价值</t>
    <phoneticPr fontId="1" type="noConversion"/>
  </si>
  <si>
    <t>Excel零基础入门到精通</t>
    <phoneticPr fontId="1" type="noConversion"/>
  </si>
  <si>
    <t>芒种学院Office</t>
    <phoneticPr fontId="1" type="noConversion"/>
  </si>
  <si>
    <t>446285201010104375</t>
    <phoneticPr fontId="1" type="noConversion"/>
  </si>
  <si>
    <t>身份证</t>
    <phoneticPr fontId="1" type="noConversion"/>
  </si>
  <si>
    <t>446285201010104375</t>
    <phoneticPr fontId="1" type="noConversion"/>
  </si>
  <si>
    <t>445111213215411201</t>
    <phoneticPr fontId="1" type="noConversion"/>
  </si>
  <si>
    <t>447351199401015364</t>
    <phoneticPr fontId="1" type="noConversion"/>
  </si>
  <si>
    <t>44850119991111346X</t>
    <phoneticPr fontId="1" type="noConversion"/>
  </si>
  <si>
    <t>445181200001018131</t>
    <phoneticPr fontId="1" type="noConversion"/>
  </si>
  <si>
    <t>完成下面的需求</t>
    <phoneticPr fontId="1" type="noConversion"/>
  </si>
  <si>
    <t>字符串</t>
    <phoneticPr fontId="1" type="noConversion"/>
  </si>
  <si>
    <t>A10001办公楼</t>
    <phoneticPr fontId="1" type="noConversion"/>
  </si>
  <si>
    <t>AX5121宿舍</t>
    <phoneticPr fontId="1" type="noConversion"/>
  </si>
  <si>
    <t>B1003车间</t>
    <phoneticPr fontId="1" type="noConversion"/>
  </si>
  <si>
    <t>CX502宿舍</t>
    <phoneticPr fontId="1" type="noConversion"/>
  </si>
  <si>
    <t>V258停车场</t>
    <phoneticPr fontId="1" type="noConversion"/>
  </si>
  <si>
    <t>LEN长度</t>
    <phoneticPr fontId="1" type="noConversion"/>
  </si>
  <si>
    <t>LENB长度</t>
    <phoneticPr fontId="1" type="noConversion"/>
  </si>
  <si>
    <t>A10001-建筑-办公楼</t>
    <phoneticPr fontId="1" type="noConversion"/>
  </si>
  <si>
    <t>AX5121-建筑-宿舍</t>
    <phoneticPr fontId="1" type="noConversion"/>
  </si>
  <si>
    <t>B1003-设备-机器人</t>
    <phoneticPr fontId="1" type="noConversion"/>
  </si>
  <si>
    <t>CX502-工具-车</t>
    <phoneticPr fontId="1" type="noConversion"/>
  </si>
  <si>
    <t>V258-建筑-停车场</t>
    <phoneticPr fontId="1" type="noConversion"/>
  </si>
  <si>
    <t>完成下面的需求/FIND</t>
    <phoneticPr fontId="1" type="noConversion"/>
  </si>
  <si>
    <t>完成下面的需求/SEARCH</t>
    <phoneticPr fontId="1" type="noConversion"/>
  </si>
  <si>
    <t>提取出英文编号</t>
    <phoneticPr fontId="1" type="noConversion"/>
  </si>
  <si>
    <t>建筑-办公楼-A10001</t>
    <phoneticPr fontId="1" type="noConversion"/>
  </si>
  <si>
    <t>建筑-宿舍-AX5121</t>
    <phoneticPr fontId="1" type="noConversion"/>
  </si>
  <si>
    <t>设备-机器人-B1003</t>
    <phoneticPr fontId="1" type="noConversion"/>
  </si>
  <si>
    <t>工具-车-CX502</t>
    <phoneticPr fontId="1" type="noConversion"/>
  </si>
  <si>
    <t>建筑-停车场-V258</t>
    <phoneticPr fontId="1" type="noConversion"/>
  </si>
  <si>
    <t>提取出中文</t>
    <phoneticPr fontId="1" type="noConversion"/>
  </si>
  <si>
    <t>将两个-中间的内容提取出来</t>
    <phoneticPr fontId="1" type="noConversion"/>
  </si>
  <si>
    <t>提取身份证中的生日，格式为YYYY-MM-DD</t>
    <phoneticPr fontId="1" type="noConversion"/>
  </si>
  <si>
    <t>生日</t>
    <phoneticPr fontId="1" type="noConversion"/>
  </si>
  <si>
    <t>助理老师邮箱：mongjoy@163.com</t>
    <phoneticPr fontId="1" type="noConversion"/>
  </si>
  <si>
    <t>截取左边2位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</si>
</sst>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7" formatCode="&quot;¥&quot;#,##0.00;&quot;¥&quot;\-#,##0.00"/>
    <numFmt numFmtId="176" formatCode="[$-F800]dddd\,\ mmmm\ dd\,\ yyyy"/>
    <numFmt numFmtId="177" formatCode="yyyy\-mm\-dd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Microsoft YaHei UI"/>
      <family val="2"/>
      <charset val="134"/>
    </font>
    <font>
      <sz val="11"/>
      <color theme="1" tint="0.34998626667073579"/>
      <name val="Microsoft YaHei UI"/>
      <family val="2"/>
      <charset val="134"/>
    </font>
    <font>
      <sz val="27"/>
      <color theme="4"/>
      <name val="Microsoft YaHei UI"/>
      <family val="2"/>
      <charset val="134"/>
    </font>
    <font>
      <sz val="16.5"/>
      <color theme="4" tint="-0.24994659260841701"/>
      <name val="Microsoft YaHei UI"/>
      <family val="2"/>
      <charset val="134"/>
    </font>
    <font>
      <sz val="11"/>
      <color theme="1" tint="0.24994659260841701"/>
      <name val="Microsoft YaHei UI"/>
      <family val="2"/>
      <charset val="134"/>
    </font>
    <font>
      <b/>
      <sz val="11"/>
      <color theme="1"/>
      <name val="Microsoft YaHei UI"/>
      <family val="2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theme="2" tint="-0.2499465926084170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9">
    <xf numFmtId="0" fontId="0" fillId="0" borderId="0"/>
    <xf numFmtId="0" fontId="6" fillId="0" borderId="0" applyNumberFormat="0" applyFont="0" applyFill="0" applyBorder="0">
      <alignment horizontal="center"/>
    </xf>
    <xf numFmtId="176" fontId="6" fillId="0" borderId="0" applyFont="0" applyFill="0" applyBorder="0">
      <alignment horizontal="right" indent="1"/>
    </xf>
    <xf numFmtId="0" fontId="6" fillId="0" borderId="0">
      <alignment horizontal="left" wrapText="1" indent="1"/>
    </xf>
    <xf numFmtId="7" fontId="6" fillId="0" borderId="0" applyFill="0" applyBorder="0" applyProtection="0">
      <alignment horizontal="right" indent="1"/>
    </xf>
    <xf numFmtId="0" fontId="3" fillId="0" borderId="0" applyNumberFormat="0" applyFill="0" applyBorder="0" applyProtection="0">
      <alignment horizontal="left"/>
    </xf>
    <xf numFmtId="7" fontId="5" fillId="0" borderId="0" applyFill="0" applyBorder="0" applyProtection="0">
      <alignment horizontal="left" vertical="top"/>
    </xf>
    <xf numFmtId="0" fontId="3" fillId="0" borderId="1" applyNumberFormat="0" applyFill="0" applyProtection="0">
      <alignment vertical="center"/>
    </xf>
    <xf numFmtId="0" fontId="4" fillId="0" borderId="0" applyNumberFormat="0" applyFill="0" applyBorder="0" applyProtection="0">
      <alignment horizontal="left" vertical="center"/>
    </xf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</cellXfs>
  <cellStyles count="9">
    <cellStyle name="标题 1 2" xfId="7"/>
    <cellStyle name="标题 5" xfId="8"/>
    <cellStyle name="常规" xfId="0" builtinId="0"/>
    <cellStyle name="常规 2" xfId="3"/>
    <cellStyle name="货币 2" xfId="6"/>
    <cellStyle name="货币[0] 2" xfId="4"/>
    <cellStyle name="记账代码" xfId="1"/>
    <cellStyle name="解释性文本 2" xfId="5"/>
    <cellStyle name="日期" xfId="2"/>
  </cellStyles>
  <dxfs count="4">
    <dxf>
      <fill>
        <patternFill>
          <bgColor theme="2"/>
        </patternFill>
      </fill>
    </dxf>
    <dxf>
      <font>
        <b/>
        <i val="0"/>
        <color theme="4" tint="-0.24994659260841701"/>
      </font>
      <border>
        <top style="thick">
          <color theme="2" tint="-0.24994659260841701"/>
        </top>
      </border>
    </dxf>
    <dxf>
      <font>
        <color theme="1" tint="0.24994659260841701"/>
      </font>
      <border>
        <bottom style="medium">
          <color theme="2" tint="-0.24994659260841701"/>
        </bottom>
      </border>
    </dxf>
    <dxf>
      <font>
        <color theme="1" tint="0.24994659260841701"/>
      </font>
    </dxf>
  </dxfs>
  <tableStyles count="1" defaultTableStyle="TableStyleMedium2" defaultPivotStyle="PivotStyleLight16">
    <tableStyle name="记账登记表" pivot="0" count="4">
      <tableStyleElement type="wholeTable" dxfId="3"/>
      <tableStyleElement type="headerRow" dxfId="2"/>
      <tableStyleElement type="totalRow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6"/>
  <sheetViews>
    <sheetView tabSelected="1" topLeftCell="B1" workbookViewId="0">
      <selection activeCell="I12" sqref="I12"/>
    </sheetView>
  </sheetViews>
  <sheetFormatPr defaultColWidth="14.125" defaultRowHeight="19.5" customHeight="1" x14ac:dyDescent="0.2"/>
  <cols>
    <col min="1" max="1" width="1.5" style="1" customWidth="1"/>
    <col min="2" max="2" width="22.625" style="1" customWidth="1"/>
    <col min="3" max="4" width="14.125" style="1"/>
    <col min="5" max="5" width="1.375" style="1" customWidth="1"/>
    <col min="6" max="6" width="26.25" style="1" customWidth="1"/>
    <col min="7" max="7" width="24.25" style="1" customWidth="1"/>
    <col min="8" max="8" width="1.75" style="1" customWidth="1"/>
    <col min="9" max="9" width="16.25" style="1" customWidth="1"/>
    <col min="10" max="12" width="14.125" style="1"/>
    <col min="13" max="13" width="1.75" style="1" customWidth="1"/>
    <col min="14" max="14" width="21.25" style="1" customWidth="1"/>
    <col min="15" max="15" width="13" style="1" customWidth="1"/>
    <col min="16" max="16" width="14.25" style="1" customWidth="1"/>
    <col min="17" max="16384" width="14.125" style="1"/>
  </cols>
  <sheetData>
    <row r="1" spans="2:17" ht="7.5" customHeight="1" x14ac:dyDescent="0.2"/>
    <row r="2" spans="2:17" ht="29.25" customHeight="1" x14ac:dyDescent="0.2">
      <c r="B2" s="7" t="s">
        <v>2</v>
      </c>
      <c r="C2" s="7"/>
      <c r="D2" s="7"/>
      <c r="F2" s="7" t="s">
        <v>38</v>
      </c>
      <c r="G2" s="7"/>
      <c r="I2" s="7" t="s">
        <v>14</v>
      </c>
      <c r="J2" s="7"/>
      <c r="K2" s="7"/>
      <c r="L2" s="7"/>
      <c r="N2" s="7" t="s">
        <v>28</v>
      </c>
      <c r="O2" s="7"/>
      <c r="P2" s="7"/>
      <c r="Q2" s="2"/>
    </row>
    <row r="3" spans="2:17" ht="27" customHeight="1" x14ac:dyDescent="0.2">
      <c r="B3" s="3" t="s">
        <v>1</v>
      </c>
      <c r="C3" s="3" t="s">
        <v>41</v>
      </c>
      <c r="D3" s="3" t="s">
        <v>0</v>
      </c>
      <c r="F3" s="3" t="s">
        <v>8</v>
      </c>
      <c r="G3" s="3" t="s">
        <v>39</v>
      </c>
      <c r="I3" s="3" t="s">
        <v>15</v>
      </c>
      <c r="J3" s="3" t="s">
        <v>21</v>
      </c>
      <c r="K3" s="3" t="s">
        <v>22</v>
      </c>
      <c r="L3" s="3" t="s">
        <v>36</v>
      </c>
      <c r="N3" s="3" t="s">
        <v>15</v>
      </c>
      <c r="O3" s="14" t="s">
        <v>37</v>
      </c>
      <c r="P3" s="15"/>
    </row>
    <row r="4" spans="2:17" ht="32.25" customHeight="1" x14ac:dyDescent="0.2">
      <c r="B4" s="5" t="s">
        <v>3</v>
      </c>
      <c r="C4" s="4" t="str">
        <f>LEFT(B4,2)</f>
        <v>12</v>
      </c>
      <c r="D4" s="4" t="str">
        <f>RIGHT(B4,3)</f>
        <v>789</v>
      </c>
      <c r="F4" s="5" t="s">
        <v>7</v>
      </c>
      <c r="G4" s="6">
        <f>DATE(MID(F4,7,4),MID(F4,11,2),MID(F4,13,2))</f>
        <v>40461</v>
      </c>
      <c r="I4" s="4" t="s">
        <v>16</v>
      </c>
      <c r="J4" s="4">
        <f>LEN(I4)</f>
        <v>9</v>
      </c>
      <c r="K4" s="4">
        <f>LENB(I4)</f>
        <v>12</v>
      </c>
      <c r="L4" s="4" t="str">
        <f>RIGHT(I4,K4-J4)</f>
        <v>办公楼</v>
      </c>
      <c r="N4" s="4" t="s">
        <v>23</v>
      </c>
      <c r="O4" s="8" t="str">
        <f t="shared" ref="O4:O8" si="0">MID(N4,FIND("-",N4)+1,2)</f>
        <v>建筑</v>
      </c>
      <c r="P4" s="9"/>
    </row>
    <row r="5" spans="2:17" ht="32.25" customHeight="1" x14ac:dyDescent="0.2">
      <c r="B5" s="4" t="s">
        <v>4</v>
      </c>
      <c r="C5" s="4" t="str">
        <f t="shared" ref="C5:C8" si="1">LEFT(B5,2)</f>
        <v>知识</v>
      </c>
      <c r="D5" s="4" t="str">
        <f t="shared" ref="D5:D8" si="2">RIGHT(B5,3)</f>
        <v>造价值</v>
      </c>
      <c r="F5" s="5" t="s">
        <v>10</v>
      </c>
      <c r="G5" s="6">
        <f t="shared" ref="G5:G8" si="3">DATE(MID(F5,7,4),MID(F5,11,2),MID(F5,13,2))</f>
        <v>85203</v>
      </c>
      <c r="I5" s="4" t="s">
        <v>17</v>
      </c>
      <c r="J5" s="4">
        <f t="shared" ref="J5:J8" si="4">LEN(I5)</f>
        <v>8</v>
      </c>
      <c r="K5" s="4">
        <f t="shared" ref="K5:K8" si="5">LENB(I5)</f>
        <v>10</v>
      </c>
      <c r="L5" s="4" t="str">
        <f t="shared" ref="L5:L8" si="6">RIGHT(I5,K5-J5)</f>
        <v>宿舍</v>
      </c>
      <c r="N5" s="4" t="s">
        <v>24</v>
      </c>
      <c r="O5" s="8" t="str">
        <f t="shared" si="0"/>
        <v>建筑</v>
      </c>
      <c r="P5" s="9"/>
    </row>
    <row r="6" spans="2:17" ht="32.25" customHeight="1" x14ac:dyDescent="0.2">
      <c r="B6" s="4" t="s">
        <v>5</v>
      </c>
      <c r="C6" s="4" t="str">
        <f t="shared" si="1"/>
        <v>Ex</v>
      </c>
      <c r="D6" s="4" t="str">
        <f t="shared" si="2"/>
        <v>到精通</v>
      </c>
      <c r="F6" s="5" t="s">
        <v>11</v>
      </c>
      <c r="G6" s="6">
        <f t="shared" si="3"/>
        <v>34335</v>
      </c>
      <c r="I6" s="4" t="s">
        <v>18</v>
      </c>
      <c r="J6" s="4">
        <f t="shared" si="4"/>
        <v>7</v>
      </c>
      <c r="K6" s="4">
        <f t="shared" si="5"/>
        <v>9</v>
      </c>
      <c r="L6" s="4" t="str">
        <f t="shared" si="6"/>
        <v>车间</v>
      </c>
      <c r="N6" s="4" t="s">
        <v>25</v>
      </c>
      <c r="O6" s="8" t="str">
        <f t="shared" si="0"/>
        <v>设备</v>
      </c>
      <c r="P6" s="9"/>
    </row>
    <row r="7" spans="2:17" ht="32.25" customHeight="1" x14ac:dyDescent="0.2">
      <c r="B7" s="4" t="s">
        <v>6</v>
      </c>
      <c r="C7" s="4" t="str">
        <f t="shared" si="1"/>
        <v>芒种</v>
      </c>
      <c r="D7" s="4" t="str">
        <f t="shared" si="2"/>
        <v>ice</v>
      </c>
      <c r="F7" s="5" t="s">
        <v>12</v>
      </c>
      <c r="G7" s="6">
        <f t="shared" si="3"/>
        <v>36475</v>
      </c>
      <c r="I7" s="4" t="s">
        <v>19</v>
      </c>
      <c r="J7" s="4">
        <f t="shared" si="4"/>
        <v>7</v>
      </c>
      <c r="K7" s="4">
        <f t="shared" si="5"/>
        <v>9</v>
      </c>
      <c r="L7" s="4" t="str">
        <f t="shared" si="6"/>
        <v>宿舍</v>
      </c>
      <c r="N7" s="4" t="s">
        <v>26</v>
      </c>
      <c r="O7" s="8" t="str">
        <f t="shared" si="0"/>
        <v>工具</v>
      </c>
      <c r="P7" s="9"/>
    </row>
    <row r="8" spans="2:17" ht="32.25" customHeight="1" x14ac:dyDescent="0.2">
      <c r="B8" s="5" t="s">
        <v>9</v>
      </c>
      <c r="C8" s="4" t="str">
        <f t="shared" si="1"/>
        <v>44</v>
      </c>
      <c r="D8" s="4" t="str">
        <f t="shared" si="2"/>
        <v>375</v>
      </c>
      <c r="F8" s="5" t="s">
        <v>13</v>
      </c>
      <c r="G8" s="6">
        <f t="shared" si="3"/>
        <v>36526</v>
      </c>
      <c r="I8" s="4" t="s">
        <v>20</v>
      </c>
      <c r="J8" s="4">
        <f t="shared" si="4"/>
        <v>7</v>
      </c>
      <c r="K8" s="4">
        <f t="shared" si="5"/>
        <v>10</v>
      </c>
      <c r="L8" s="4" t="str">
        <f t="shared" si="6"/>
        <v>停车场</v>
      </c>
      <c r="N8" s="4" t="s">
        <v>27</v>
      </c>
      <c r="O8" s="8" t="str">
        <f t="shared" si="0"/>
        <v>建筑</v>
      </c>
      <c r="P8" s="9"/>
    </row>
    <row r="9" spans="2:17" ht="9.75" customHeight="1" x14ac:dyDescent="0.2"/>
    <row r="10" spans="2:17" ht="32.25" customHeight="1" x14ac:dyDescent="0.2">
      <c r="F10" s="10" t="s">
        <v>40</v>
      </c>
      <c r="G10" s="11"/>
      <c r="N10" s="7" t="s">
        <v>29</v>
      </c>
      <c r="O10" s="7"/>
      <c r="P10" s="7"/>
    </row>
    <row r="11" spans="2:17" ht="32.25" customHeight="1" x14ac:dyDescent="0.2">
      <c r="F11" s="12"/>
      <c r="G11" s="13"/>
      <c r="N11" s="3" t="s">
        <v>15</v>
      </c>
      <c r="O11" s="14" t="s">
        <v>30</v>
      </c>
      <c r="P11" s="15"/>
    </row>
    <row r="12" spans="2:17" ht="32.25" customHeight="1" x14ac:dyDescent="0.2">
      <c r="N12" s="4" t="s">
        <v>31</v>
      </c>
      <c r="O12" s="8" t="str">
        <f>RIGHT(N12,LEN(N12)-SEARCH("-",N12,SEARCH("-",N12)+1))</f>
        <v>A10001</v>
      </c>
      <c r="P12" s="9"/>
    </row>
    <row r="13" spans="2:17" ht="32.25" customHeight="1" x14ac:dyDescent="0.2">
      <c r="N13" s="4" t="s">
        <v>32</v>
      </c>
      <c r="O13" s="8" t="str">
        <f t="shared" ref="O13:O16" si="7">RIGHT(N13,LEN(N13)-SEARCH("-",N13,SEARCH("-",N13)+1))</f>
        <v>AX5121</v>
      </c>
      <c r="P13" s="9"/>
    </row>
    <row r="14" spans="2:17" ht="32.25" customHeight="1" x14ac:dyDescent="0.2">
      <c r="N14" s="4" t="s">
        <v>33</v>
      </c>
      <c r="O14" s="8" t="str">
        <f t="shared" si="7"/>
        <v>B1003</v>
      </c>
      <c r="P14" s="9"/>
    </row>
    <row r="15" spans="2:17" ht="32.25" customHeight="1" x14ac:dyDescent="0.2">
      <c r="N15" s="4" t="s">
        <v>34</v>
      </c>
      <c r="O15" s="8" t="str">
        <f t="shared" si="7"/>
        <v>CX502</v>
      </c>
      <c r="P15" s="9"/>
    </row>
    <row r="16" spans="2:17" ht="32.25" customHeight="1" x14ac:dyDescent="0.2">
      <c r="N16" s="4" t="s">
        <v>35</v>
      </c>
      <c r="O16" s="8" t="str">
        <f t="shared" si="7"/>
        <v>V258</v>
      </c>
      <c r="P16" s="9"/>
    </row>
  </sheetData>
  <mergeCells count="18">
    <mergeCell ref="B2:D2"/>
    <mergeCell ref="F2:G2"/>
    <mergeCell ref="I2:L2"/>
    <mergeCell ref="N2:P2"/>
    <mergeCell ref="N10:P10"/>
    <mergeCell ref="O3:P3"/>
    <mergeCell ref="O4:P4"/>
    <mergeCell ref="O5:P5"/>
    <mergeCell ref="O6:P6"/>
    <mergeCell ref="O7:P7"/>
    <mergeCell ref="O16:P16"/>
    <mergeCell ref="F10:G11"/>
    <mergeCell ref="O8:P8"/>
    <mergeCell ref="O11:P11"/>
    <mergeCell ref="O12:P12"/>
    <mergeCell ref="O13:P13"/>
    <mergeCell ref="O14:P14"/>
    <mergeCell ref="O15:P15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练习1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</dc:creator>
  <cp:lastModifiedBy>zh</cp:lastModifiedBy>
  <dcterms:created xsi:type="dcterms:W3CDTF">2015-06-05T18:19:34Z</dcterms:created>
  <dcterms:modified xsi:type="dcterms:W3CDTF">2019-03-01T15:16:18Z</dcterms:modified>
</cp:coreProperties>
</file>