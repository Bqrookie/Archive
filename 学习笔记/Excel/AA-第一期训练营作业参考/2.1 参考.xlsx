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参考\"/>
    </mc:Choice>
  </mc:AlternateContent>
  <bookViews>
    <workbookView xWindow="0" yWindow="0" windowWidth="22260" windowHeight="12645"/>
  </bookViews>
  <sheets>
    <sheet name="练习1" sheetId="3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" i="3" l="1"/>
  <c r="AB5" i="3"/>
  <c r="AB6" i="3"/>
  <c r="AB7" i="3"/>
  <c r="AB8" i="3"/>
  <c r="AB9" i="3"/>
  <c r="AB10" i="3"/>
  <c r="AB11" i="3"/>
  <c r="AB12" i="3"/>
  <c r="AB13" i="3"/>
  <c r="AB3" i="3"/>
  <c r="AA4" i="3"/>
  <c r="AA5" i="3"/>
  <c r="AA6" i="3"/>
  <c r="AA7" i="3"/>
  <c r="AA8" i="3"/>
  <c r="AA9" i="3"/>
  <c r="AA10" i="3"/>
  <c r="AA11" i="3"/>
  <c r="AA12" i="3"/>
  <c r="AA13" i="3"/>
  <c r="AA3" i="3"/>
  <c r="X4" i="3"/>
  <c r="X5" i="3"/>
  <c r="X6" i="3"/>
  <c r="X7" i="3"/>
  <c r="X8" i="3"/>
  <c r="X9" i="3"/>
  <c r="X10" i="3"/>
  <c r="X11" i="3"/>
  <c r="X12" i="3"/>
  <c r="X13" i="3"/>
  <c r="X3" i="3"/>
  <c r="U4" i="3"/>
  <c r="U5" i="3"/>
  <c r="U6" i="3"/>
  <c r="U7" i="3"/>
  <c r="U8" i="3"/>
  <c r="U9" i="3"/>
  <c r="U10" i="3"/>
  <c r="U11" i="3"/>
  <c r="U12" i="3"/>
  <c r="U13" i="3"/>
  <c r="U3" i="3"/>
  <c r="T4" i="3"/>
  <c r="T5" i="3"/>
  <c r="T6" i="3"/>
  <c r="T7" i="3"/>
  <c r="T8" i="3"/>
  <c r="T9" i="3"/>
  <c r="T10" i="3"/>
  <c r="T11" i="3"/>
  <c r="T12" i="3"/>
  <c r="T13" i="3"/>
  <c r="T3" i="3"/>
  <c r="P13" i="3"/>
  <c r="G15" i="3"/>
  <c r="F15" i="3"/>
  <c r="P12" i="3"/>
  <c r="L20" i="3"/>
  <c r="G14" i="3"/>
  <c r="F14" i="3"/>
  <c r="G13" i="3"/>
  <c r="F13" i="3"/>
  <c r="F12" i="3"/>
  <c r="G12" i="3"/>
  <c r="B4" i="3"/>
  <c r="B3" i="3"/>
  <c r="B2" i="3"/>
</calcChain>
</file>

<file path=xl/sharedStrings.xml><?xml version="1.0" encoding="utf-8"?>
<sst xmlns="http://schemas.openxmlformats.org/spreadsheetml/2006/main" count="92" uniqueCount="60">
  <si>
    <t>销售汇总表</t>
    <phoneticPr fontId="1" type="noConversion"/>
  </si>
  <si>
    <t>编制单位：芒种学院</t>
    <phoneticPr fontId="1" type="noConversion"/>
  </si>
  <si>
    <t>客户</t>
    <phoneticPr fontId="1" type="noConversion"/>
  </si>
  <si>
    <t>广东A公司</t>
    <phoneticPr fontId="1" type="noConversion"/>
  </si>
  <si>
    <t>广东B公司</t>
    <phoneticPr fontId="1" type="noConversion"/>
  </si>
  <si>
    <t>北京D公司</t>
    <phoneticPr fontId="1" type="noConversion"/>
  </si>
  <si>
    <t>区域</t>
    <phoneticPr fontId="1" type="noConversion"/>
  </si>
  <si>
    <t>2017销售额</t>
    <phoneticPr fontId="1" type="noConversion"/>
  </si>
  <si>
    <t>2018销售额</t>
    <phoneticPr fontId="1" type="noConversion"/>
  </si>
  <si>
    <t>南区</t>
    <phoneticPr fontId="1" type="noConversion"/>
  </si>
  <si>
    <t>南区</t>
    <phoneticPr fontId="1" type="noConversion"/>
  </si>
  <si>
    <t>北区</t>
    <phoneticPr fontId="1" type="noConversion"/>
  </si>
  <si>
    <t>单位：万元</t>
    <phoneticPr fontId="1" type="noConversion"/>
  </si>
  <si>
    <t>合计</t>
    <phoneticPr fontId="1" type="noConversion"/>
  </si>
  <si>
    <t>南区合计</t>
    <phoneticPr fontId="1" type="noConversion"/>
  </si>
  <si>
    <t>北京C公司</t>
    <phoneticPr fontId="1" type="noConversion"/>
  </si>
  <si>
    <t>天津E公司</t>
    <phoneticPr fontId="1" type="noConversion"/>
  </si>
  <si>
    <t>重庆F公司</t>
    <phoneticPr fontId="1" type="noConversion"/>
  </si>
  <si>
    <t>成都G公司</t>
    <phoneticPr fontId="1" type="noConversion"/>
  </si>
  <si>
    <t>贵阳H公司</t>
    <phoneticPr fontId="1" type="noConversion"/>
  </si>
  <si>
    <t>大区</t>
    <phoneticPr fontId="1" type="noConversion"/>
  </si>
  <si>
    <t>年度</t>
    <phoneticPr fontId="1" type="noConversion"/>
  </si>
  <si>
    <t>销售额</t>
    <phoneticPr fontId="1" type="noConversion"/>
  </si>
  <si>
    <t>广东B公司</t>
    <phoneticPr fontId="1" type="noConversion"/>
  </si>
  <si>
    <t>贵阳H公司</t>
    <phoneticPr fontId="1" type="noConversion"/>
  </si>
  <si>
    <t>费用明细表</t>
    <phoneticPr fontId="1" type="noConversion"/>
  </si>
  <si>
    <t>部门</t>
    <phoneticPr fontId="1" type="noConversion"/>
  </si>
  <si>
    <t>费用类别</t>
    <phoneticPr fontId="1" type="noConversion"/>
  </si>
  <si>
    <t>金额</t>
    <phoneticPr fontId="1" type="noConversion"/>
  </si>
  <si>
    <t>市场部</t>
    <phoneticPr fontId="1" type="noConversion"/>
  </si>
  <si>
    <t>技术部</t>
    <phoneticPr fontId="1" type="noConversion"/>
  </si>
  <si>
    <t>财务部</t>
    <phoneticPr fontId="1" type="noConversion"/>
  </si>
  <si>
    <t>营销部</t>
    <phoneticPr fontId="1" type="noConversion"/>
  </si>
  <si>
    <t>业务招待费</t>
    <phoneticPr fontId="1" type="noConversion"/>
  </si>
  <si>
    <t>服务器报销</t>
    <phoneticPr fontId="1" type="noConversion"/>
  </si>
  <si>
    <t>办公费</t>
    <phoneticPr fontId="1" type="noConversion"/>
  </si>
  <si>
    <t>采购电脑</t>
    <phoneticPr fontId="1" type="noConversion"/>
  </si>
  <si>
    <t>单位：元</t>
    <phoneticPr fontId="1" type="noConversion"/>
  </si>
  <si>
    <t>差旅费</t>
    <phoneticPr fontId="1" type="noConversion"/>
  </si>
  <si>
    <t>测试部</t>
    <phoneticPr fontId="1" type="noConversion"/>
  </si>
  <si>
    <t>求余数</t>
    <phoneticPr fontId="1" type="noConversion"/>
  </si>
  <si>
    <t>除数</t>
    <phoneticPr fontId="1" type="noConversion"/>
  </si>
  <si>
    <t>余数</t>
    <phoneticPr fontId="1" type="noConversion"/>
  </si>
  <si>
    <t>被除数</t>
    <phoneticPr fontId="1" type="noConversion"/>
  </si>
  <si>
    <t>3位小数</t>
    <phoneticPr fontId="1" type="noConversion"/>
  </si>
  <si>
    <t>保留小数点</t>
    <phoneticPr fontId="1" type="noConversion"/>
  </si>
  <si>
    <t>原始数据</t>
    <phoneticPr fontId="1" type="noConversion"/>
  </si>
  <si>
    <t>INT方法</t>
    <phoneticPr fontId="1" type="noConversion"/>
  </si>
  <si>
    <t>ROUND方法</t>
    <phoneticPr fontId="1" type="noConversion"/>
  </si>
  <si>
    <t>去除小数点</t>
    <phoneticPr fontId="1" type="noConversion"/>
  </si>
  <si>
    <t>引用</t>
    <phoneticPr fontId="1" type="noConversion"/>
  </si>
  <si>
    <t>广东+天津公司合计</t>
    <phoneticPr fontId="1" type="noConversion"/>
  </si>
  <si>
    <t>北区超过100万元的合计</t>
    <phoneticPr fontId="1" type="noConversion"/>
  </si>
  <si>
    <t>南区2018年度销售额合计</t>
    <phoneticPr fontId="1" type="noConversion"/>
  </si>
  <si>
    <t>市场部和营销部的业务招待费</t>
    <phoneticPr fontId="1" type="noConversion"/>
  </si>
  <si>
    <t>助理老师邮箱：mongjoy@163.com</t>
    <phoneticPr fontId="1" type="noConversion"/>
  </si>
  <si>
    <t>商</t>
    <phoneticPr fontId="1" type="noConversion"/>
  </si>
  <si>
    <t>P2</t>
    <phoneticPr fontId="1" type="noConversion"/>
  </si>
  <si>
    <t>案例1中的P2</t>
    <phoneticPr fontId="1" type="noConversion"/>
  </si>
  <si>
    <t>辅助.xlsx中Sheet1中的P2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</si>
</sst>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¥&quot;#,##0.00;&quot;¥&quot;\-#,##0.00"/>
    <numFmt numFmtId="176" formatCode="[$-F800]dddd\,\ mmmm\ dd\,\ yyyy"/>
    <numFmt numFmtId="177" formatCode="0.00_ "/>
    <numFmt numFmtId="178" formatCode="0.000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9">
    <xf numFmtId="0" fontId="0" fillId="0" borderId="0"/>
    <xf numFmtId="0" fontId="6" fillId="0" borderId="0" applyNumberFormat="0" applyFont="0" applyFill="0" applyBorder="0">
      <alignment horizontal="center"/>
    </xf>
    <xf numFmtId="176" fontId="6" fillId="0" borderId="0" applyFont="0" applyFill="0" applyBorder="0">
      <alignment horizontal="right" indent="1"/>
    </xf>
    <xf numFmtId="0" fontId="6" fillId="0" borderId="0">
      <alignment horizontal="left" wrapText="1" indent="1"/>
    </xf>
    <xf numFmtId="7" fontId="6" fillId="0" borderId="0" applyFill="0" applyBorder="0" applyProtection="0">
      <alignment horizontal="right" indent="1"/>
    </xf>
    <xf numFmtId="0" fontId="3" fillId="0" borderId="0" applyNumberFormat="0" applyFill="0" applyBorder="0" applyProtection="0">
      <alignment horizontal="left"/>
    </xf>
    <xf numFmtId="7" fontId="5" fillId="0" borderId="0" applyFill="0" applyBorder="0" applyProtection="0">
      <alignment horizontal="left" vertical="top"/>
    </xf>
    <xf numFmtId="0" fontId="3" fillId="0" borderId="1" applyNumberFormat="0" applyFill="0" applyProtection="0">
      <alignment vertical="center"/>
    </xf>
    <xf numFmtId="0" fontId="4" fillId="0" borderId="0" applyNumberFormat="0" applyFill="0" applyBorder="0" applyProtection="0">
      <alignment horizontal="left" vertical="center"/>
    </xf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2" fillId="2" borderId="6" xfId="0" applyNumberFormat="1" applyFont="1" applyFill="1" applyBorder="1" applyAlignment="1">
      <alignment horizontal="center" vertical="center"/>
    </xf>
    <xf numFmtId="2" fontId="2" fillId="2" borderId="7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57" fontId="8" fillId="0" borderId="8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right" vertical="center" indent="2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57" fontId="8" fillId="0" borderId="5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 indent="2"/>
    </xf>
    <xf numFmtId="0" fontId="8" fillId="0" borderId="5" xfId="0" applyFont="1" applyBorder="1" applyAlignment="1">
      <alignment horizontal="right" vertical="center" indent="2"/>
    </xf>
    <xf numFmtId="0" fontId="7" fillId="0" borderId="0" xfId="0" applyFont="1" applyAlignment="1">
      <alignment horizontal="center" vertical="center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6696;&#20363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741;&#2116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案例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showGridLines="0" tabSelected="1" topLeftCell="H1" workbookViewId="0">
      <selection activeCell="P13" sqref="P13"/>
    </sheetView>
  </sheetViews>
  <sheetFormatPr defaultColWidth="15.375" defaultRowHeight="25.5" customHeight="1" x14ac:dyDescent="0.2"/>
  <cols>
    <col min="1" max="1" width="26.625" style="1" customWidth="1"/>
    <col min="2" max="2" width="15.75" style="1" customWidth="1"/>
    <col min="3" max="3" width="1.375" style="1" customWidth="1"/>
    <col min="4" max="7" width="15.375" style="1"/>
    <col min="8" max="8" width="1.125" style="1" customWidth="1"/>
    <col min="9" max="12" width="16.875" style="1" customWidth="1"/>
    <col min="13" max="13" width="2.125" style="1" customWidth="1"/>
    <col min="14" max="14" width="16.75" style="1" customWidth="1"/>
    <col min="15" max="15" width="18.375" style="1" customWidth="1"/>
    <col min="16" max="16" width="15.375" style="1"/>
    <col min="17" max="17" width="1.625" style="1" customWidth="1"/>
    <col min="18" max="21" width="8.75" style="1" customWidth="1"/>
    <col min="22" max="22" width="2.25" style="1" customWidth="1"/>
    <col min="23" max="24" width="15.375" style="1"/>
    <col min="25" max="25" width="1.875" style="1" customWidth="1"/>
    <col min="26" max="16384" width="15.375" style="1"/>
  </cols>
  <sheetData>
    <row r="1" spans="1:28" ht="30.75" customHeight="1" x14ac:dyDescent="0.2">
      <c r="A1" s="45" t="s">
        <v>50</v>
      </c>
      <c r="B1" s="45"/>
      <c r="D1" s="45" t="s">
        <v>0</v>
      </c>
      <c r="E1" s="45"/>
      <c r="F1" s="45"/>
      <c r="G1" s="45"/>
      <c r="I1" s="45" t="s">
        <v>0</v>
      </c>
      <c r="J1" s="45"/>
      <c r="K1" s="45"/>
      <c r="L1" s="45"/>
      <c r="N1" s="40" t="s">
        <v>25</v>
      </c>
      <c r="O1" s="40"/>
      <c r="P1" s="40"/>
      <c r="R1" s="45" t="s">
        <v>40</v>
      </c>
      <c r="S1" s="45"/>
      <c r="T1" s="45"/>
      <c r="U1" s="45"/>
      <c r="W1" s="45" t="s">
        <v>45</v>
      </c>
      <c r="X1" s="45"/>
      <c r="Z1" s="40" t="s">
        <v>49</v>
      </c>
      <c r="AA1" s="40"/>
      <c r="AB1" s="40"/>
    </row>
    <row r="2" spans="1:28" ht="22.5" customHeight="1" x14ac:dyDescent="0.2">
      <c r="A2" s="2" t="s">
        <v>57</v>
      </c>
      <c r="B2" s="3" t="str">
        <f>P2</f>
        <v>单位：元</v>
      </c>
      <c r="D2" s="41" t="s">
        <v>1</v>
      </c>
      <c r="E2" s="42"/>
      <c r="F2" s="43" t="s">
        <v>12</v>
      </c>
      <c r="G2" s="44"/>
      <c r="I2" s="41" t="s">
        <v>1</v>
      </c>
      <c r="J2" s="42"/>
      <c r="K2" s="43" t="s">
        <v>12</v>
      </c>
      <c r="L2" s="44"/>
      <c r="N2" s="13" t="s">
        <v>1</v>
      </c>
      <c r="O2" s="15">
        <v>43466</v>
      </c>
      <c r="P2" s="16" t="s">
        <v>37</v>
      </c>
      <c r="R2" s="17" t="s">
        <v>43</v>
      </c>
      <c r="S2" s="15" t="s">
        <v>41</v>
      </c>
      <c r="T2" s="15" t="s">
        <v>56</v>
      </c>
      <c r="U2" s="18" t="s">
        <v>42</v>
      </c>
      <c r="W2" s="17" t="s">
        <v>46</v>
      </c>
      <c r="X2" s="19" t="s">
        <v>44</v>
      </c>
      <c r="Z2" s="17" t="s">
        <v>46</v>
      </c>
      <c r="AA2" s="14" t="s">
        <v>48</v>
      </c>
      <c r="AB2" s="18" t="s">
        <v>47</v>
      </c>
    </row>
    <row r="3" spans="1:28" ht="25.5" customHeight="1" x14ac:dyDescent="0.2">
      <c r="A3" s="2" t="s">
        <v>58</v>
      </c>
      <c r="B3" s="3" t="e">
        <f>[1]案例1!P2</f>
        <v>#REF!</v>
      </c>
      <c r="D3" s="2" t="s">
        <v>2</v>
      </c>
      <c r="E3" s="2" t="s">
        <v>6</v>
      </c>
      <c r="F3" s="2" t="s">
        <v>7</v>
      </c>
      <c r="G3" s="2" t="s">
        <v>8</v>
      </c>
      <c r="I3" s="2" t="s">
        <v>2</v>
      </c>
      <c r="J3" s="2" t="s">
        <v>20</v>
      </c>
      <c r="K3" s="2" t="s">
        <v>21</v>
      </c>
      <c r="L3" s="2" t="s">
        <v>22</v>
      </c>
      <c r="N3" s="2" t="s">
        <v>26</v>
      </c>
      <c r="O3" s="2" t="s">
        <v>27</v>
      </c>
      <c r="P3" s="2" t="s">
        <v>28</v>
      </c>
      <c r="R3" s="3">
        <v>48</v>
      </c>
      <c r="S3" s="3">
        <v>1</v>
      </c>
      <c r="T3" s="3">
        <f>INT(R3/S3)</f>
        <v>48</v>
      </c>
      <c r="U3" s="3">
        <f>MOD(R3,S3)</f>
        <v>0</v>
      </c>
      <c r="W3" s="3">
        <v>535.31010293832537</v>
      </c>
      <c r="X3" s="25">
        <f>ROUND(W3,3)</f>
        <v>535.30999999999995</v>
      </c>
      <c r="Z3" s="3">
        <v>535.31010293832537</v>
      </c>
      <c r="AA3" s="3">
        <f>ROUND(Z3,0)</f>
        <v>535</v>
      </c>
      <c r="AB3" s="3">
        <f>INT(Z3)</f>
        <v>535</v>
      </c>
    </row>
    <row r="4" spans="1:28" ht="25.5" customHeight="1" x14ac:dyDescent="0.2">
      <c r="A4" s="2" t="s">
        <v>59</v>
      </c>
      <c r="B4" s="3" t="e">
        <f>[2]Sheet1!P2</f>
        <v>#REF!</v>
      </c>
      <c r="D4" s="3" t="s">
        <v>3</v>
      </c>
      <c r="E4" s="3" t="s">
        <v>9</v>
      </c>
      <c r="F4" s="4">
        <v>268</v>
      </c>
      <c r="G4" s="4">
        <v>119</v>
      </c>
      <c r="I4" s="7" t="s">
        <v>3</v>
      </c>
      <c r="J4" s="7" t="s">
        <v>9</v>
      </c>
      <c r="K4" s="20">
        <v>2017</v>
      </c>
      <c r="L4" s="8">
        <v>268</v>
      </c>
      <c r="N4" s="3" t="s">
        <v>29</v>
      </c>
      <c r="O4" s="3" t="s">
        <v>33</v>
      </c>
      <c r="P4" s="3">
        <v>455</v>
      </c>
      <c r="R4" s="5">
        <v>680</v>
      </c>
      <c r="S4" s="5">
        <v>7</v>
      </c>
      <c r="T4" s="5">
        <f t="shared" ref="T4:T13" si="0">INT(R4/S4)</f>
        <v>97</v>
      </c>
      <c r="U4" s="5">
        <f t="shared" ref="U4:U13" si="1">MOD(R4,S4)</f>
        <v>1</v>
      </c>
      <c r="W4" s="5">
        <v>622.83456360863215</v>
      </c>
      <c r="X4" s="26">
        <f t="shared" ref="X4:X13" si="2">ROUND(W4,3)</f>
        <v>622.83500000000004</v>
      </c>
      <c r="Z4" s="5">
        <v>622.83456360863215</v>
      </c>
      <c r="AA4" s="5">
        <f t="shared" ref="AA4:AA13" si="3">ROUND(Z4,0)</f>
        <v>623</v>
      </c>
      <c r="AB4" s="5">
        <f t="shared" ref="AB4:AB13" si="4">INT(Z4)</f>
        <v>622</v>
      </c>
    </row>
    <row r="5" spans="1:28" ht="25.5" customHeight="1" x14ac:dyDescent="0.2">
      <c r="D5" s="5" t="s">
        <v>4</v>
      </c>
      <c r="E5" s="5" t="s">
        <v>10</v>
      </c>
      <c r="F5" s="6">
        <v>265</v>
      </c>
      <c r="G5" s="6">
        <v>217</v>
      </c>
      <c r="I5" s="9"/>
      <c r="J5" s="9"/>
      <c r="K5" s="21">
        <v>2018</v>
      </c>
      <c r="L5" s="9">
        <v>119</v>
      </c>
      <c r="N5" s="5" t="s">
        <v>30</v>
      </c>
      <c r="O5" s="5" t="s">
        <v>34</v>
      </c>
      <c r="P5" s="5">
        <v>954</v>
      </c>
      <c r="R5" s="3">
        <v>428</v>
      </c>
      <c r="S5" s="3">
        <v>2</v>
      </c>
      <c r="T5" s="3">
        <f t="shared" si="0"/>
        <v>214</v>
      </c>
      <c r="U5" s="3">
        <f t="shared" si="1"/>
        <v>0</v>
      </c>
      <c r="W5" s="3">
        <v>73.068214370545562</v>
      </c>
      <c r="X5" s="25">
        <f t="shared" si="2"/>
        <v>73.067999999999998</v>
      </c>
      <c r="Z5" s="3">
        <v>73.068214370545562</v>
      </c>
      <c r="AA5" s="3">
        <f t="shared" si="3"/>
        <v>73</v>
      </c>
      <c r="AB5" s="3">
        <f t="shared" si="4"/>
        <v>73</v>
      </c>
    </row>
    <row r="6" spans="1:28" ht="25.5" customHeight="1" x14ac:dyDescent="0.2">
      <c r="D6" s="3" t="s">
        <v>15</v>
      </c>
      <c r="E6" s="3" t="s">
        <v>11</v>
      </c>
      <c r="F6" s="4">
        <v>182</v>
      </c>
      <c r="G6" s="4">
        <v>206</v>
      </c>
      <c r="I6" s="10" t="s">
        <v>23</v>
      </c>
      <c r="J6" s="10" t="s">
        <v>10</v>
      </c>
      <c r="K6" s="22">
        <v>2017</v>
      </c>
      <c r="L6" s="11">
        <v>265</v>
      </c>
      <c r="N6" s="3" t="s">
        <v>29</v>
      </c>
      <c r="O6" s="3" t="s">
        <v>35</v>
      </c>
      <c r="P6" s="3">
        <v>321</v>
      </c>
      <c r="R6" s="5">
        <v>298</v>
      </c>
      <c r="S6" s="5">
        <v>7</v>
      </c>
      <c r="T6" s="5">
        <f t="shared" si="0"/>
        <v>42</v>
      </c>
      <c r="U6" s="5">
        <f t="shared" si="1"/>
        <v>4</v>
      </c>
      <c r="W6" s="5">
        <v>467.53646179074235</v>
      </c>
      <c r="X6" s="26">
        <f t="shared" si="2"/>
        <v>467.536</v>
      </c>
      <c r="Z6" s="5">
        <v>467.53646179074235</v>
      </c>
      <c r="AA6" s="5">
        <f t="shared" si="3"/>
        <v>468</v>
      </c>
      <c r="AB6" s="5">
        <f t="shared" si="4"/>
        <v>467</v>
      </c>
    </row>
    <row r="7" spans="1:28" ht="25.5" customHeight="1" x14ac:dyDescent="0.2">
      <c r="D7" s="5" t="s">
        <v>5</v>
      </c>
      <c r="E7" s="5" t="s">
        <v>11</v>
      </c>
      <c r="F7" s="6">
        <v>97</v>
      </c>
      <c r="G7" s="6">
        <v>214</v>
      </c>
      <c r="I7" s="12"/>
      <c r="J7" s="12"/>
      <c r="K7" s="23">
        <v>2018</v>
      </c>
      <c r="L7" s="12">
        <v>217</v>
      </c>
      <c r="N7" s="5" t="s">
        <v>31</v>
      </c>
      <c r="O7" s="5" t="s">
        <v>38</v>
      </c>
      <c r="P7" s="5">
        <v>293</v>
      </c>
      <c r="R7" s="3">
        <v>809</v>
      </c>
      <c r="S7" s="3">
        <v>9</v>
      </c>
      <c r="T7" s="3">
        <f t="shared" si="0"/>
        <v>89</v>
      </c>
      <c r="U7" s="3">
        <f t="shared" si="1"/>
        <v>8</v>
      </c>
      <c r="W7" s="3">
        <v>687.07085210056175</v>
      </c>
      <c r="X7" s="25">
        <f t="shared" si="2"/>
        <v>687.07100000000003</v>
      </c>
      <c r="Z7" s="3">
        <v>687.07085210056175</v>
      </c>
      <c r="AA7" s="3">
        <f t="shared" si="3"/>
        <v>687</v>
      </c>
      <c r="AB7" s="3">
        <f t="shared" si="4"/>
        <v>687</v>
      </c>
    </row>
    <row r="8" spans="1:28" ht="25.5" customHeight="1" x14ac:dyDescent="0.2">
      <c r="D8" s="3" t="s">
        <v>16</v>
      </c>
      <c r="E8" s="3" t="s">
        <v>11</v>
      </c>
      <c r="F8" s="4">
        <v>237</v>
      </c>
      <c r="G8" s="4">
        <v>233</v>
      </c>
      <c r="I8" s="7" t="s">
        <v>15</v>
      </c>
      <c r="J8" s="7" t="s">
        <v>11</v>
      </c>
      <c r="K8" s="20">
        <v>2017</v>
      </c>
      <c r="L8" s="8">
        <v>182</v>
      </c>
      <c r="N8" s="3" t="s">
        <v>32</v>
      </c>
      <c r="O8" s="3" t="s">
        <v>35</v>
      </c>
      <c r="P8" s="3">
        <v>577</v>
      </c>
      <c r="R8" s="5">
        <v>989</v>
      </c>
      <c r="S8" s="5">
        <v>0</v>
      </c>
      <c r="T8" s="5" t="e">
        <f t="shared" si="0"/>
        <v>#DIV/0!</v>
      </c>
      <c r="U8" s="5" t="e">
        <f t="shared" si="1"/>
        <v>#DIV/0!</v>
      </c>
      <c r="W8" s="5">
        <v>417.46583134898208</v>
      </c>
      <c r="X8" s="26">
        <f t="shared" si="2"/>
        <v>417.46600000000001</v>
      </c>
      <c r="Z8" s="5">
        <v>417.46583134898208</v>
      </c>
      <c r="AA8" s="5">
        <f t="shared" si="3"/>
        <v>417</v>
      </c>
      <c r="AB8" s="5">
        <f t="shared" si="4"/>
        <v>417</v>
      </c>
    </row>
    <row r="9" spans="1:28" ht="25.5" customHeight="1" x14ac:dyDescent="0.2">
      <c r="D9" s="5" t="s">
        <v>17</v>
      </c>
      <c r="E9" s="5" t="s">
        <v>10</v>
      </c>
      <c r="F9" s="6">
        <v>121</v>
      </c>
      <c r="G9" s="6">
        <v>68</v>
      </c>
      <c r="I9" s="9"/>
      <c r="J9" s="9"/>
      <c r="K9" s="21">
        <v>2018</v>
      </c>
      <c r="L9" s="9">
        <v>206</v>
      </c>
      <c r="N9" s="5" t="s">
        <v>32</v>
      </c>
      <c r="O9" s="5" t="s">
        <v>33</v>
      </c>
      <c r="P9" s="5">
        <v>223</v>
      </c>
      <c r="R9" s="3">
        <v>943</v>
      </c>
      <c r="S9" s="3">
        <v>4</v>
      </c>
      <c r="T9" s="3">
        <f t="shared" si="0"/>
        <v>235</v>
      </c>
      <c r="U9" s="3">
        <f t="shared" si="1"/>
        <v>3</v>
      </c>
      <c r="W9" s="3">
        <v>153.02353949485237</v>
      </c>
      <c r="X9" s="25">
        <f t="shared" si="2"/>
        <v>153.024</v>
      </c>
      <c r="Z9" s="3">
        <v>153.02353949485237</v>
      </c>
      <c r="AA9" s="3">
        <f t="shared" si="3"/>
        <v>153</v>
      </c>
      <c r="AB9" s="3">
        <f t="shared" si="4"/>
        <v>153</v>
      </c>
    </row>
    <row r="10" spans="1:28" ht="25.5" customHeight="1" x14ac:dyDescent="0.2">
      <c r="D10" s="3" t="s">
        <v>18</v>
      </c>
      <c r="E10" s="3" t="s">
        <v>10</v>
      </c>
      <c r="F10" s="4">
        <v>105</v>
      </c>
      <c r="G10" s="4">
        <v>151</v>
      </c>
      <c r="I10" s="10" t="s">
        <v>5</v>
      </c>
      <c r="J10" s="10" t="s">
        <v>11</v>
      </c>
      <c r="K10" s="22">
        <v>2017</v>
      </c>
      <c r="L10" s="11">
        <v>97</v>
      </c>
      <c r="N10" s="3" t="s">
        <v>29</v>
      </c>
      <c r="O10" s="3" t="s">
        <v>33</v>
      </c>
      <c r="P10" s="3">
        <v>220</v>
      </c>
      <c r="R10" s="5">
        <v>320</v>
      </c>
      <c r="S10" s="5">
        <v>8</v>
      </c>
      <c r="T10" s="5">
        <f t="shared" si="0"/>
        <v>40</v>
      </c>
      <c r="U10" s="5">
        <f t="shared" si="1"/>
        <v>0</v>
      </c>
      <c r="W10" s="5">
        <v>765.93649812509352</v>
      </c>
      <c r="X10" s="26">
        <f t="shared" si="2"/>
        <v>765.93600000000004</v>
      </c>
      <c r="Z10" s="5">
        <v>765.93649812509352</v>
      </c>
      <c r="AA10" s="5">
        <f t="shared" si="3"/>
        <v>766</v>
      </c>
      <c r="AB10" s="5">
        <f t="shared" si="4"/>
        <v>765</v>
      </c>
    </row>
    <row r="11" spans="1:28" ht="25.5" customHeight="1" x14ac:dyDescent="0.2">
      <c r="D11" s="5" t="s">
        <v>19</v>
      </c>
      <c r="E11" s="5" t="s">
        <v>10</v>
      </c>
      <c r="F11" s="6">
        <v>191</v>
      </c>
      <c r="G11" s="6">
        <v>226</v>
      </c>
      <c r="I11" s="12"/>
      <c r="J11" s="12"/>
      <c r="K11" s="23">
        <v>2018</v>
      </c>
      <c r="L11" s="12">
        <v>214</v>
      </c>
      <c r="N11" s="5" t="s">
        <v>39</v>
      </c>
      <c r="O11" s="5" t="s">
        <v>36</v>
      </c>
      <c r="P11" s="5">
        <v>528</v>
      </c>
      <c r="R11" s="3">
        <v>866</v>
      </c>
      <c r="S11" s="3">
        <v>7</v>
      </c>
      <c r="T11" s="3">
        <f t="shared" si="0"/>
        <v>123</v>
      </c>
      <c r="U11" s="3">
        <f t="shared" si="1"/>
        <v>5</v>
      </c>
      <c r="W11" s="3">
        <v>162.69539560371749</v>
      </c>
      <c r="X11" s="25">
        <f t="shared" si="2"/>
        <v>162.69499999999999</v>
      </c>
      <c r="Z11" s="3">
        <v>162.69539560371749</v>
      </c>
      <c r="AA11" s="3">
        <f t="shared" si="3"/>
        <v>163</v>
      </c>
      <c r="AB11" s="3">
        <f t="shared" si="4"/>
        <v>162</v>
      </c>
    </row>
    <row r="12" spans="1:28" ht="25.5" customHeight="1" x14ac:dyDescent="0.2">
      <c r="D12" s="27" t="s">
        <v>13</v>
      </c>
      <c r="E12" s="27"/>
      <c r="F12" s="4">
        <f>SUM(F4:F11)</f>
        <v>1466</v>
      </c>
      <c r="G12" s="4">
        <f>SUM(G4:G11)</f>
        <v>1434</v>
      </c>
      <c r="I12" s="7" t="s">
        <v>16</v>
      </c>
      <c r="J12" s="7" t="s">
        <v>11</v>
      </c>
      <c r="K12" s="20">
        <v>2017</v>
      </c>
      <c r="L12" s="8">
        <v>237</v>
      </c>
      <c r="N12" s="27" t="s">
        <v>13</v>
      </c>
      <c r="O12" s="27"/>
      <c r="P12" s="3">
        <f>SUM(P4:P11)</f>
        <v>3571</v>
      </c>
      <c r="R12" s="5">
        <v>304</v>
      </c>
      <c r="S12" s="5">
        <v>4</v>
      </c>
      <c r="T12" s="5">
        <f t="shared" si="0"/>
        <v>76</v>
      </c>
      <c r="U12" s="5">
        <f t="shared" si="1"/>
        <v>0</v>
      </c>
      <c r="W12" s="5">
        <v>621.11765086346588</v>
      </c>
      <c r="X12" s="26">
        <f t="shared" si="2"/>
        <v>621.11800000000005</v>
      </c>
      <c r="Z12" s="5">
        <v>621.11765086346588</v>
      </c>
      <c r="AA12" s="5">
        <f t="shared" si="3"/>
        <v>621</v>
      </c>
      <c r="AB12" s="5">
        <f t="shared" si="4"/>
        <v>621</v>
      </c>
    </row>
    <row r="13" spans="1:28" ht="25.5" customHeight="1" x14ac:dyDescent="0.2">
      <c r="D13" s="27" t="s">
        <v>52</v>
      </c>
      <c r="E13" s="27"/>
      <c r="F13" s="24">
        <f>SUMIFS(F4:F11,$E$4:$E$11,"北区",F4:F11,"&gt;100")</f>
        <v>419</v>
      </c>
      <c r="G13" s="24">
        <f>SUMIFS(G4:G11,$E$4:$E$11,"北区",G4:G11,"&gt;100")</f>
        <v>653</v>
      </c>
      <c r="I13" s="9"/>
      <c r="J13" s="9"/>
      <c r="K13" s="21">
        <v>2018</v>
      </c>
      <c r="L13" s="9">
        <v>233</v>
      </c>
      <c r="N13" s="27" t="s">
        <v>54</v>
      </c>
      <c r="O13" s="27"/>
      <c r="P13" s="3">
        <f>SUM(SUMIFS(P4:P11,N4:N11,{"市场部","营销部"},O4:O11,"业务招待费"))</f>
        <v>898</v>
      </c>
      <c r="R13" s="3">
        <v>890</v>
      </c>
      <c r="S13" s="3">
        <v>2</v>
      </c>
      <c r="T13" s="3">
        <f t="shared" si="0"/>
        <v>445</v>
      </c>
      <c r="U13" s="3">
        <f t="shared" si="1"/>
        <v>0</v>
      </c>
      <c r="W13" s="3">
        <v>477.47096579926631</v>
      </c>
      <c r="X13" s="25">
        <f t="shared" si="2"/>
        <v>477.471</v>
      </c>
      <c r="Z13" s="3">
        <v>477.47096579926631</v>
      </c>
      <c r="AA13" s="3">
        <f t="shared" si="3"/>
        <v>477</v>
      </c>
      <c r="AB13" s="3">
        <f t="shared" si="4"/>
        <v>477</v>
      </c>
    </row>
    <row r="14" spans="1:28" ht="25.5" customHeight="1" x14ac:dyDescent="0.2">
      <c r="D14" s="27" t="s">
        <v>14</v>
      </c>
      <c r="E14" s="27"/>
      <c r="F14" s="24">
        <f>SUMIF($E$4:$E$11,"南区",F4:F11)</f>
        <v>950</v>
      </c>
      <c r="G14" s="24">
        <f>SUMIF($E$4:$E$11,"南区",G4:G11)</f>
        <v>781</v>
      </c>
      <c r="I14" s="10" t="s">
        <v>17</v>
      </c>
      <c r="J14" s="10" t="s">
        <v>10</v>
      </c>
      <c r="K14" s="22">
        <v>2017</v>
      </c>
      <c r="L14" s="11">
        <v>121</v>
      </c>
    </row>
    <row r="15" spans="1:28" ht="25.5" customHeight="1" x14ac:dyDescent="0.2">
      <c r="D15" s="27" t="s">
        <v>51</v>
      </c>
      <c r="E15" s="27"/>
      <c r="F15" s="24">
        <f>SUM(SUMIF($D$4:$D$11,{"广东*","天津*"},F4:F11))</f>
        <v>770</v>
      </c>
      <c r="G15" s="24">
        <f>SUM(SUMIF($D$4:$D$11,{"广东*","天津*"},G4:G11))</f>
        <v>569</v>
      </c>
      <c r="I15" s="12"/>
      <c r="J15" s="12"/>
      <c r="K15" s="23">
        <v>2018</v>
      </c>
      <c r="L15" s="12">
        <v>68</v>
      </c>
    </row>
    <row r="16" spans="1:28" ht="25.5" customHeight="1" x14ac:dyDescent="0.2">
      <c r="I16" s="7" t="s">
        <v>18</v>
      </c>
      <c r="J16" s="7" t="s">
        <v>10</v>
      </c>
      <c r="K16" s="20">
        <v>2017</v>
      </c>
      <c r="L16" s="8">
        <v>105</v>
      </c>
    </row>
    <row r="17" spans="4:12" ht="25.5" customHeight="1" x14ac:dyDescent="0.2">
      <c r="D17" s="31" t="s">
        <v>55</v>
      </c>
      <c r="E17" s="32"/>
      <c r="F17" s="32"/>
      <c r="G17" s="33"/>
      <c r="I17" s="9"/>
      <c r="J17" s="9"/>
      <c r="K17" s="21">
        <v>2018</v>
      </c>
      <c r="L17" s="9">
        <v>151</v>
      </c>
    </row>
    <row r="18" spans="4:12" ht="25.5" customHeight="1" x14ac:dyDescent="0.2">
      <c r="D18" s="34"/>
      <c r="E18" s="35"/>
      <c r="F18" s="35"/>
      <c r="G18" s="36"/>
      <c r="I18" s="10" t="s">
        <v>24</v>
      </c>
      <c r="J18" s="10" t="s">
        <v>10</v>
      </c>
      <c r="K18" s="22">
        <v>2017</v>
      </c>
      <c r="L18" s="11">
        <v>191</v>
      </c>
    </row>
    <row r="19" spans="4:12" ht="25.5" customHeight="1" x14ac:dyDescent="0.2">
      <c r="D19" s="37"/>
      <c r="E19" s="38"/>
      <c r="F19" s="38"/>
      <c r="G19" s="39"/>
      <c r="I19" s="12"/>
      <c r="J19" s="12"/>
      <c r="K19" s="23">
        <v>2018</v>
      </c>
      <c r="L19" s="12">
        <v>226</v>
      </c>
    </row>
    <row r="20" spans="4:12" ht="25.5" customHeight="1" x14ac:dyDescent="0.2">
      <c r="I20" s="28" t="s">
        <v>53</v>
      </c>
      <c r="J20" s="29"/>
      <c r="K20" s="30"/>
      <c r="L20" s="4">
        <f ca="1">SUMIF(J4:J19,"南区",L5:L19)</f>
        <v>781</v>
      </c>
    </row>
  </sheetData>
  <mergeCells count="19">
    <mergeCell ref="D12:E12"/>
    <mergeCell ref="N12:O12"/>
    <mergeCell ref="A1:B1"/>
    <mergeCell ref="D1:G1"/>
    <mergeCell ref="I1:L1"/>
    <mergeCell ref="N1:P1"/>
    <mergeCell ref="Z1:AB1"/>
    <mergeCell ref="D2:E2"/>
    <mergeCell ref="F2:G2"/>
    <mergeCell ref="I2:J2"/>
    <mergeCell ref="K2:L2"/>
    <mergeCell ref="R1:U1"/>
    <mergeCell ref="W1:X1"/>
    <mergeCell ref="D13:E13"/>
    <mergeCell ref="N13:O13"/>
    <mergeCell ref="D14:E14"/>
    <mergeCell ref="D15:E15"/>
    <mergeCell ref="I20:K20"/>
    <mergeCell ref="D17:G19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2019-01-29T06:06:08Z</dcterms:modified>
</cp:coreProperties>
</file>