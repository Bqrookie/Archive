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AA-第一期训练营作业参考\"/>
    </mc:Choice>
  </mc:AlternateContent>
  <bookViews>
    <workbookView xWindow="0" yWindow="0" windowWidth="22260" windowHeight="12645"/>
  </bookViews>
  <sheets>
    <sheet name="练习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4" l="1" a="1"/>
  <c r="L6" i="4" s="1"/>
  <c r="M6" i="4" a="1"/>
  <c r="M6" i="4" s="1"/>
  <c r="N6" i="4" a="1"/>
  <c r="N6" i="4" s="1"/>
  <c r="O6" i="4" a="1"/>
  <c r="O6" i="4"/>
  <c r="L7" i="4" a="1"/>
  <c r="L7" i="4" s="1"/>
  <c r="M7" i="4" a="1"/>
  <c r="M7" i="4" s="1"/>
  <c r="N7" i="4" a="1"/>
  <c r="N7" i="4" s="1"/>
  <c r="O7" i="4" a="1"/>
  <c r="O7" i="4"/>
  <c r="L8" i="4" a="1"/>
  <c r="L8" i="4" s="1"/>
  <c r="M8" i="4" a="1"/>
  <c r="M8" i="4" s="1"/>
  <c r="N8" i="4" a="1"/>
  <c r="N8" i="4" s="1"/>
  <c r="O8" i="4" a="1"/>
  <c r="O8" i="4" s="1"/>
  <c r="M5" i="4" a="1"/>
  <c r="M5" i="4" s="1"/>
  <c r="N5" i="4" a="1"/>
  <c r="N5" i="4" s="1"/>
  <c r="O5" i="4" a="1"/>
  <c r="O5" i="4" s="1"/>
  <c r="L5" i="4" a="1"/>
  <c r="L5" i="4" s="1"/>
  <c r="D12" i="4"/>
  <c r="E12" i="4"/>
  <c r="F12" i="4"/>
  <c r="H12" i="4" s="1"/>
  <c r="G12" i="4"/>
  <c r="H5" i="4"/>
  <c r="H6" i="4"/>
  <c r="H7" i="4"/>
  <c r="H8" i="4"/>
  <c r="H9" i="4"/>
  <c r="H10" i="4"/>
  <c r="H11" i="4"/>
</calcChain>
</file>

<file path=xl/sharedStrings.xml><?xml version="1.0" encoding="utf-8"?>
<sst xmlns="http://schemas.openxmlformats.org/spreadsheetml/2006/main" count="43" uniqueCount="36">
  <si>
    <t>地区</t>
    <phoneticPr fontId="1" type="noConversion"/>
  </si>
  <si>
    <t>广东</t>
    <phoneticPr fontId="1" type="noConversion"/>
  </si>
  <si>
    <t>广东</t>
    <phoneticPr fontId="1" type="noConversion"/>
  </si>
  <si>
    <t>福建</t>
    <phoneticPr fontId="1" type="noConversion"/>
  </si>
  <si>
    <t>湖南</t>
    <phoneticPr fontId="1" type="noConversion"/>
  </si>
  <si>
    <t>分公司季度收入统计表</t>
    <phoneticPr fontId="1" type="noConversion"/>
  </si>
  <si>
    <t>单位：芒种科技</t>
    <phoneticPr fontId="1" type="noConversion"/>
  </si>
  <si>
    <t>单位：万</t>
    <phoneticPr fontId="1" type="noConversion"/>
  </si>
  <si>
    <t>公司</t>
    <phoneticPr fontId="1" type="noConversion"/>
  </si>
  <si>
    <t>公司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</si>
  <si>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</si>
  <si>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</si>
  <si>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</si>
  <si>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</si>
  <si>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合计</t>
    <phoneticPr fontId="1" type="noConversion"/>
  </si>
  <si>
    <t>A公司</t>
    <phoneticPr fontId="1" type="noConversion"/>
  </si>
  <si>
    <t>B公司</t>
    <phoneticPr fontId="1" type="noConversion"/>
  </si>
  <si>
    <t>C公司</t>
    <phoneticPr fontId="1" type="noConversion"/>
  </si>
  <si>
    <t>D公司</t>
    <phoneticPr fontId="1" type="noConversion"/>
  </si>
  <si>
    <t>地区</t>
    <phoneticPr fontId="1" type="noConversion"/>
  </si>
  <si>
    <t>A公司</t>
    <phoneticPr fontId="1" type="noConversion"/>
  </si>
  <si>
    <t>C公司</t>
    <phoneticPr fontId="1" type="noConversion"/>
  </si>
  <si>
    <t>A公司</t>
    <phoneticPr fontId="1" type="noConversion"/>
  </si>
  <si>
    <t>D公司</t>
    <phoneticPr fontId="1" type="noConversion"/>
  </si>
  <si>
    <t>E公司</t>
    <phoneticPr fontId="1" type="noConversion"/>
  </si>
  <si>
    <t>湖北</t>
    <phoneticPr fontId="1" type="noConversion"/>
  </si>
  <si>
    <t>海南</t>
    <phoneticPr fontId="1" type="noConversion"/>
  </si>
  <si>
    <t>公司数量：</t>
    <phoneticPr fontId="1" type="noConversion"/>
  </si>
  <si>
    <t>合计</t>
    <phoneticPr fontId="1" type="noConversion"/>
  </si>
  <si>
    <t>A公司</t>
    <phoneticPr fontId="1" type="noConversion"/>
  </si>
  <si>
    <t>一季度</t>
    <phoneticPr fontId="1" type="noConversion"/>
  </si>
  <si>
    <t>三季度</t>
    <phoneticPr fontId="1" type="noConversion"/>
  </si>
  <si>
    <t>固件</t>
    <phoneticPr fontId="1" type="noConversion"/>
  </si>
  <si>
    <t>请使用VLOOKUP+COLUMN+数组公式完成筛选</t>
    <phoneticPr fontId="1" type="noConversion"/>
  </si>
  <si>
    <t>地区数量：</t>
    <phoneticPr fontId="1" type="noConversion"/>
  </si>
  <si>
    <r>
      <rPr>
        <b/>
        <sz val="11"/>
        <color theme="1"/>
        <rFont val="Microsoft YaHei UI"/>
        <family val="2"/>
        <charset val="134"/>
      </rPr>
      <t>底色为蓝色的单元格均需完成</t>
    </r>
    <r>
      <rPr>
        <sz val="11"/>
        <color theme="1"/>
        <rFont val="Microsoft YaHei UI"/>
        <family val="2"/>
        <charset val="134"/>
      </rPr>
      <t>，助理老师邮箱：mongjoy@163.com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</si>
</sst>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sz val="11"/>
      <color theme="1"/>
      <name val="Arial"/>
      <family val="2"/>
    </font>
    <font>
      <b/>
      <sz val="10"/>
      <color rgb="FFFF0000"/>
      <name val="Microsoft YaHei UI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9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10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7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4" fontId="12" fillId="4" borderId="4" xfId="0" applyNumberFormat="1" applyFont="1" applyFill="1" applyBorder="1" applyAlignment="1">
      <alignment horizontal="center" vertical="center"/>
    </xf>
    <xf numFmtId="4" fontId="12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tabSelected="1" workbookViewId="0">
      <selection activeCell="I3" sqref="I3:O3"/>
    </sheetView>
  </sheetViews>
  <sheetFormatPr defaultColWidth="13.75" defaultRowHeight="27.75" customHeight="1" x14ac:dyDescent="0.2"/>
  <cols>
    <col min="1" max="1" width="1.25" style="1" customWidth="1"/>
    <col min="2" max="8" width="13.75" style="1"/>
    <col min="9" max="9" width="1.75" style="1" customWidth="1"/>
    <col min="10" max="10" width="11.125" style="1" customWidth="1"/>
    <col min="11" max="16384" width="13.75" style="1"/>
  </cols>
  <sheetData>
    <row r="1" spans="2:15" ht="9.75" customHeight="1" x14ac:dyDescent="0.2"/>
    <row r="2" spans="2:15" ht="27.75" customHeight="1" x14ac:dyDescent="0.2">
      <c r="B2" s="2" t="s">
        <v>5</v>
      </c>
      <c r="C2" s="2"/>
      <c r="D2" s="2"/>
      <c r="E2" s="3"/>
      <c r="F2" s="3"/>
      <c r="G2" s="3"/>
      <c r="H2" s="3"/>
      <c r="I2" s="3"/>
    </row>
    <row r="3" spans="2:15" ht="27.75" customHeight="1" thickBot="1" x14ac:dyDescent="0.25">
      <c r="B3" s="4" t="s">
        <v>6</v>
      </c>
      <c r="C3" s="10" t="s">
        <v>27</v>
      </c>
      <c r="D3" s="13"/>
      <c r="E3" s="10" t="s">
        <v>34</v>
      </c>
      <c r="F3" s="13"/>
      <c r="G3" s="4"/>
      <c r="H3" s="4" t="s">
        <v>7</v>
      </c>
      <c r="I3" s="17" t="s">
        <v>33</v>
      </c>
      <c r="J3" s="17"/>
      <c r="K3" s="17"/>
      <c r="L3" s="17"/>
      <c r="M3" s="17"/>
      <c r="N3" s="17"/>
      <c r="O3" s="17"/>
    </row>
    <row r="4" spans="2:15" ht="27.75" customHeight="1" thickBot="1" x14ac:dyDescent="0.25">
      <c r="B4" s="5" t="s">
        <v>19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J4" s="5" t="s">
        <v>8</v>
      </c>
      <c r="K4" s="5" t="s">
        <v>0</v>
      </c>
      <c r="L4" s="5" t="s">
        <v>30</v>
      </c>
      <c r="M4" s="5" t="s">
        <v>11</v>
      </c>
      <c r="N4" s="5" t="s">
        <v>31</v>
      </c>
      <c r="O4" s="5" t="s">
        <v>13</v>
      </c>
    </row>
    <row r="5" spans="2:15" ht="27.75" customHeight="1" x14ac:dyDescent="0.2">
      <c r="B5" s="6" t="s">
        <v>1</v>
      </c>
      <c r="C5" s="6" t="s">
        <v>15</v>
      </c>
      <c r="D5" s="7">
        <v>4915</v>
      </c>
      <c r="E5" s="7">
        <v>3633</v>
      </c>
      <c r="F5" s="7">
        <v>1186</v>
      </c>
      <c r="G5" s="7">
        <v>3612</v>
      </c>
      <c r="H5" s="15">
        <f t="shared" ref="H5:H12" si="0">SUM(D5:G5)</f>
        <v>13346</v>
      </c>
      <c r="J5" s="1" t="s">
        <v>20</v>
      </c>
      <c r="K5" s="1" t="s">
        <v>1</v>
      </c>
      <c r="L5" s="16">
        <f t="array" ref="L5">VLOOKUP($J5&amp;$K5,IF({1,0},$C$5:$C$11&amp;$B$5:$B$11,D$5:D$11),2,0)</f>
        <v>4915</v>
      </c>
      <c r="M5" s="16">
        <f t="array" ref="M5">VLOOKUP($J5&amp;$K5,IF({1,0},$C$5:$C$11&amp;$B$5:$B$11,E$5:E$11),2,0)</f>
        <v>3633</v>
      </c>
      <c r="N5" s="16">
        <f t="array" ref="N5">VLOOKUP($J5&amp;$K5,IF({1,0},$C$5:$C$11&amp;$B$5:$B$11,F$5:F$11),2,0)</f>
        <v>1186</v>
      </c>
      <c r="O5" s="16">
        <f t="array" ref="O5">VLOOKUP($J5&amp;$K5,IF({1,0},$C$5:$C$11&amp;$B$5:$B$11,G$5:G$11),2,0)</f>
        <v>3612</v>
      </c>
    </row>
    <row r="6" spans="2:15" ht="27.75" customHeight="1" x14ac:dyDescent="0.2">
      <c r="B6" s="8" t="s">
        <v>26</v>
      </c>
      <c r="C6" s="8" t="s">
        <v>16</v>
      </c>
      <c r="D6" s="9">
        <v>4293</v>
      </c>
      <c r="E6" s="9">
        <v>3632</v>
      </c>
      <c r="F6" s="9">
        <v>3233</v>
      </c>
      <c r="G6" s="9">
        <v>3075</v>
      </c>
      <c r="H6" s="15">
        <f t="shared" si="0"/>
        <v>14233</v>
      </c>
      <c r="J6" s="8" t="s">
        <v>29</v>
      </c>
      <c r="K6" s="8" t="s">
        <v>4</v>
      </c>
      <c r="L6" s="16">
        <f t="array" ref="L6">VLOOKUP($J6&amp;$K6,IF({1,0},$C$5:$C$11&amp;$B$5:$B$11,D$5:D$11),2,0)</f>
        <v>4346</v>
      </c>
      <c r="M6" s="16">
        <f t="array" ref="M6">VLOOKUP($J6&amp;$K6,IF({1,0},$C$5:$C$11&amp;$B$5:$B$11,E$5:E$11),2,0)</f>
        <v>3398</v>
      </c>
      <c r="N6" s="16">
        <f t="array" ref="N6">VLOOKUP($J6&amp;$K6,IF({1,0},$C$5:$C$11&amp;$B$5:$B$11,F$5:F$11),2,0)</f>
        <v>1997</v>
      </c>
      <c r="O6" s="16">
        <f t="array" ref="O6">VLOOKUP($J6&amp;$K6,IF({1,0},$C$5:$C$11&amp;$B$5:$B$11,G$5:G$11),2,0)</f>
        <v>3982</v>
      </c>
    </row>
    <row r="7" spans="2:15" ht="27.75" customHeight="1" x14ac:dyDescent="0.2">
      <c r="B7" s="6" t="s">
        <v>1</v>
      </c>
      <c r="C7" s="6" t="s">
        <v>21</v>
      </c>
      <c r="D7" s="7">
        <v>1717</v>
      </c>
      <c r="E7" s="7">
        <v>4456</v>
      </c>
      <c r="F7" s="7">
        <v>3420</v>
      </c>
      <c r="G7" s="7">
        <v>3487</v>
      </c>
      <c r="H7" s="15">
        <f t="shared" si="0"/>
        <v>13080</v>
      </c>
      <c r="J7" s="1" t="s">
        <v>18</v>
      </c>
      <c r="K7" s="1" t="s">
        <v>2</v>
      </c>
      <c r="L7" s="16">
        <f t="array" ref="L7">VLOOKUP($J7&amp;$K7,IF({1,0},$C$5:$C$11&amp;$B$5:$B$11,D$5:D$11),2,0)</f>
        <v>5336</v>
      </c>
      <c r="M7" s="16">
        <f t="array" ref="M7">VLOOKUP($J7&amp;$K7,IF({1,0},$C$5:$C$11&amp;$B$5:$B$11,E$5:E$11),2,0)</f>
        <v>5888</v>
      </c>
      <c r="N7" s="16">
        <f t="array" ref="N7">VLOOKUP($J7&amp;$K7,IF({1,0},$C$5:$C$11&amp;$B$5:$B$11,F$5:F$11),2,0)</f>
        <v>6559</v>
      </c>
      <c r="O7" s="16">
        <f t="array" ref="O7">VLOOKUP($J7&amp;$K7,IF({1,0},$C$5:$C$11&amp;$B$5:$B$11,G$5:G$11),2,0)</f>
        <v>7707</v>
      </c>
    </row>
    <row r="8" spans="2:15" ht="27.75" customHeight="1" x14ac:dyDescent="0.2">
      <c r="B8" s="8" t="s">
        <v>4</v>
      </c>
      <c r="C8" s="8" t="s">
        <v>22</v>
      </c>
      <c r="D8" s="9">
        <v>4346</v>
      </c>
      <c r="E8" s="9">
        <v>3398</v>
      </c>
      <c r="F8" s="9">
        <v>1997</v>
      </c>
      <c r="G8" s="9">
        <v>3982</v>
      </c>
      <c r="H8" s="15">
        <f t="shared" si="0"/>
        <v>13723</v>
      </c>
      <c r="J8" s="8" t="s">
        <v>17</v>
      </c>
      <c r="K8" s="8" t="s">
        <v>32</v>
      </c>
      <c r="L8" s="16" t="e">
        <f t="array" ref="L8">VLOOKUP($J8&amp;$K8,IF({1,0},$C$5:$C$11&amp;$B$5:$B$11,D$5:D$11),2,0)</f>
        <v>#N/A</v>
      </c>
      <c r="M8" s="16" t="e">
        <f t="array" ref="M8">VLOOKUP($J8&amp;$K8,IF({1,0},$C$5:$C$11&amp;$B$5:$B$11,E$5:E$11),2,0)</f>
        <v>#N/A</v>
      </c>
      <c r="N8" s="16" t="e">
        <f t="array" ref="N8">VLOOKUP($J8&amp;$K8,IF({1,0},$C$5:$C$11&amp;$B$5:$B$11,F$5:F$11),2,0)</f>
        <v>#N/A</v>
      </c>
      <c r="O8" s="16" t="e">
        <f t="array" ref="O8">VLOOKUP($J8&amp;$K8,IF({1,0},$C$5:$C$11&amp;$B$5:$B$11,G$5:G$11),2,0)</f>
        <v>#N/A</v>
      </c>
    </row>
    <row r="9" spans="2:15" ht="27.75" customHeight="1" x14ac:dyDescent="0.2">
      <c r="B9" s="6" t="s">
        <v>1</v>
      </c>
      <c r="C9" s="6" t="s">
        <v>23</v>
      </c>
      <c r="D9" s="7">
        <v>5336</v>
      </c>
      <c r="E9" s="7">
        <v>5888</v>
      </c>
      <c r="F9" s="7">
        <v>6559</v>
      </c>
      <c r="G9" s="7">
        <v>7707</v>
      </c>
      <c r="H9" s="15">
        <f t="shared" si="0"/>
        <v>25490</v>
      </c>
    </row>
    <row r="10" spans="2:15" ht="27.75" customHeight="1" x14ac:dyDescent="0.2">
      <c r="B10" s="8" t="s">
        <v>25</v>
      </c>
      <c r="C10" s="8" t="s">
        <v>24</v>
      </c>
      <c r="D10" s="9">
        <v>2340</v>
      </c>
      <c r="E10" s="9">
        <v>8446</v>
      </c>
      <c r="F10" s="9">
        <v>4437</v>
      </c>
      <c r="G10" s="9">
        <v>9438</v>
      </c>
      <c r="H10" s="15">
        <f t="shared" si="0"/>
        <v>24661</v>
      </c>
    </row>
    <row r="11" spans="2:15" ht="27.75" customHeight="1" x14ac:dyDescent="0.2">
      <c r="B11" s="6" t="s">
        <v>3</v>
      </c>
      <c r="C11" s="6" t="s">
        <v>21</v>
      </c>
      <c r="D11" s="7">
        <v>1166</v>
      </c>
      <c r="E11" s="7">
        <v>1651</v>
      </c>
      <c r="F11" s="7">
        <v>1740</v>
      </c>
      <c r="G11" s="7">
        <v>3164</v>
      </c>
      <c r="H11" s="15">
        <f t="shared" si="0"/>
        <v>7721</v>
      </c>
    </row>
    <row r="12" spans="2:15" ht="27.75" customHeight="1" x14ac:dyDescent="0.2">
      <c r="B12" s="11"/>
      <c r="C12" s="12" t="s">
        <v>28</v>
      </c>
      <c r="D12" s="14">
        <f>SUM(D5:D11)</f>
        <v>24113</v>
      </c>
      <c r="E12" s="14">
        <f>SUM(E5:E11)</f>
        <v>31104</v>
      </c>
      <c r="F12" s="14">
        <f>SUM(F5:F11)</f>
        <v>22572</v>
      </c>
      <c r="G12" s="14">
        <f>SUM(G5:G11)</f>
        <v>34465</v>
      </c>
      <c r="H12" s="14">
        <f t="shared" si="0"/>
        <v>112254</v>
      </c>
    </row>
    <row r="14" spans="2:15" ht="27.75" customHeight="1" x14ac:dyDescent="0.2">
      <c r="B14" s="18" t="s">
        <v>35</v>
      </c>
      <c r="C14" s="19"/>
      <c r="D14" s="19"/>
      <c r="E14" s="19"/>
      <c r="F14" s="19"/>
      <c r="G14" s="19"/>
      <c r="H14" s="20"/>
    </row>
    <row r="15" spans="2:15" ht="27.75" customHeight="1" x14ac:dyDescent="0.2">
      <c r="B15" s="21"/>
      <c r="C15" s="22"/>
      <c r="D15" s="22"/>
      <c r="E15" s="22"/>
      <c r="F15" s="22"/>
      <c r="G15" s="22"/>
      <c r="H15" s="23"/>
    </row>
  </sheetData>
  <mergeCells count="2">
    <mergeCell ref="I3:O3"/>
    <mergeCell ref="B14:H1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2019-03-01T15:16:31Z</dcterms:modified>
</cp:coreProperties>
</file>