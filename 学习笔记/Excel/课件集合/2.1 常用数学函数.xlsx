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2 Excel函数进阶学习\2.1 常用数学函数\"/>
    </mc:Choice>
  </mc:AlternateContent>
  <bookViews>
    <workbookView xWindow="0" yWindow="0" windowWidth="22260" windowHeight="12645" activeTab="2"/>
  </bookViews>
  <sheets>
    <sheet name="知识点" sheetId="1" r:id="rId1"/>
    <sheet name="案例1" sheetId="5" r:id="rId2"/>
    <sheet name="练习1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4" i="5" l="1"/>
  <c r="AA5" i="5"/>
  <c r="AA6" i="5"/>
  <c r="AA7" i="5"/>
  <c r="AA8" i="5"/>
  <c r="AA9" i="5"/>
  <c r="AA10" i="5"/>
  <c r="AA11" i="5"/>
  <c r="AA12" i="5"/>
  <c r="AA13" i="5"/>
  <c r="AA3" i="5"/>
  <c r="Z4" i="5"/>
  <c r="Z5" i="5"/>
  <c r="Z6" i="5"/>
  <c r="Z7" i="5"/>
  <c r="Z8" i="5"/>
  <c r="Z9" i="5"/>
  <c r="Z10" i="5"/>
  <c r="Z11" i="5"/>
  <c r="Z12" i="5"/>
  <c r="Z13" i="5"/>
  <c r="Z3" i="5"/>
  <c r="T4" i="5"/>
  <c r="T5" i="5"/>
  <c r="T6" i="5"/>
  <c r="T7" i="5"/>
  <c r="T8" i="5"/>
  <c r="T9" i="5"/>
  <c r="T10" i="5"/>
  <c r="T11" i="5"/>
  <c r="T12" i="5"/>
  <c r="T13" i="5"/>
  <c r="T3" i="5"/>
  <c r="W4" i="5"/>
  <c r="W5" i="5"/>
  <c r="W6" i="5"/>
  <c r="W7" i="5"/>
  <c r="W8" i="5"/>
  <c r="W9" i="5"/>
  <c r="W10" i="5"/>
  <c r="W11" i="5"/>
  <c r="W12" i="5"/>
  <c r="W13" i="5"/>
  <c r="W3" i="5"/>
  <c r="P13" i="5"/>
  <c r="G15" i="5"/>
  <c r="F15" i="5"/>
  <c r="L20" i="5"/>
  <c r="G14" i="5"/>
  <c r="F14" i="5"/>
  <c r="G13" i="5"/>
  <c r="F13" i="5"/>
  <c r="G12" i="5"/>
  <c r="F12" i="5"/>
  <c r="B4" i="5"/>
  <c r="B3" i="5"/>
  <c r="B2" i="5"/>
  <c r="E18" i="1" l="1"/>
</calcChain>
</file>

<file path=xl/sharedStrings.xml><?xml version="1.0" encoding="utf-8"?>
<sst xmlns="http://schemas.openxmlformats.org/spreadsheetml/2006/main" count="226" uniqueCount="107">
  <si>
    <t>序号</t>
    <phoneticPr fontId="3" type="noConversion"/>
  </si>
  <si>
    <t>知识点</t>
    <phoneticPr fontId="3" type="noConversion"/>
  </si>
  <si>
    <t>简介</t>
    <phoneticPr fontId="3" type="noConversion"/>
  </si>
  <si>
    <t>/</t>
    <phoneticPr fontId="3" type="noConversion"/>
  </si>
  <si>
    <t>操作说明</t>
    <phoneticPr fontId="3" type="noConversion"/>
  </si>
  <si>
    <t>注意事项</t>
    <phoneticPr fontId="3" type="noConversion"/>
  </si>
  <si>
    <t>练习提交方式</t>
    <phoneticPr fontId="3" type="noConversion"/>
  </si>
  <si>
    <t>课程知识点（更多Office课程，前往公众号：芒种学院）</t>
    <phoneticPr fontId="3" type="noConversion"/>
  </si>
  <si>
    <t>SUM</t>
    <phoneticPr fontId="3" type="noConversion"/>
  </si>
  <si>
    <t>INT</t>
    <phoneticPr fontId="3" type="noConversion"/>
  </si>
  <si>
    <t>参数</t>
    <phoneticPr fontId="3" type="noConversion"/>
  </si>
  <si>
    <t>Excel最简单函数，功能为求和</t>
    <phoneticPr fontId="3" type="noConversion"/>
  </si>
  <si>
    <t>引用</t>
    <phoneticPr fontId="3" type="noConversion"/>
  </si>
  <si>
    <t>在公式中怎么引用单元格</t>
    <phoneticPr fontId="3" type="noConversion"/>
  </si>
  <si>
    <t>参加训练营，查看群公告，将【练习】完成后发送到助理老师的邮箱，右键命名格式：微信名+课程节数。
例如：指北针+2.1</t>
    <phoneticPr fontId="3" type="noConversion"/>
  </si>
  <si>
    <t>跨文件引用中，文件如果被打开，只显示文件名，如果文件被关闭，则显示文件完整路径</t>
    <phoneticPr fontId="3" type="noConversion"/>
  </si>
  <si>
    <t>SUMIF/SUMIFS</t>
    <phoneticPr fontId="3" type="noConversion"/>
  </si>
  <si>
    <t>ROUND</t>
    <phoneticPr fontId="3" type="noConversion"/>
  </si>
  <si>
    <t>MOD</t>
    <phoneticPr fontId="3" type="noConversion"/>
  </si>
  <si>
    <t>/</t>
    <phoneticPr fontId="3" type="noConversion"/>
  </si>
  <si>
    <t>课外拓展</t>
    <phoneticPr fontId="3" type="noConversion"/>
  </si>
  <si>
    <t>Excel中的条件求和函数（单多）</t>
    <phoneticPr fontId="3" type="noConversion"/>
  </si>
  <si>
    <t>四舍五入函数</t>
    <phoneticPr fontId="3" type="noConversion"/>
  </si>
  <si>
    <t>取余数函数</t>
    <phoneticPr fontId="3" type="noConversion"/>
  </si>
  <si>
    <t>参数可以多个，可以为单元格引用，也可以为具体数值</t>
    <phoneticPr fontId="3" type="noConversion"/>
  </si>
  <si>
    <t>/</t>
    <phoneticPr fontId="3" type="noConversion"/>
  </si>
  <si>
    <t>参数必须为单一的，不能是区域</t>
    <phoneticPr fontId="3" type="noConversion"/>
  </si>
  <si>
    <t>INT(待切割的数字)</t>
    <phoneticPr fontId="3" type="noConversion"/>
  </si>
  <si>
    <t>ROUND(数据，小数位数)</t>
    <phoneticPr fontId="3" type="noConversion"/>
  </si>
  <si>
    <t>MOD(被除数，除数)</t>
    <phoneticPr fontId="3" type="noConversion"/>
  </si>
  <si>
    <t>SUM(数字1，数字2，…)</t>
    <phoneticPr fontId="3" type="noConversion"/>
  </si>
  <si>
    <t>/</t>
    <phoneticPr fontId="3" type="noConversion"/>
  </si>
  <si>
    <t>销售汇总表</t>
    <phoneticPr fontId="3" type="noConversion"/>
  </si>
  <si>
    <t>编制单位：芒种学院</t>
    <phoneticPr fontId="3" type="noConversion"/>
  </si>
  <si>
    <t>客户</t>
    <phoneticPr fontId="3" type="noConversion"/>
  </si>
  <si>
    <t>广东A公司</t>
    <phoneticPr fontId="3" type="noConversion"/>
  </si>
  <si>
    <t>广东B公司</t>
    <phoneticPr fontId="3" type="noConversion"/>
  </si>
  <si>
    <t>北京D公司</t>
    <phoneticPr fontId="3" type="noConversion"/>
  </si>
  <si>
    <t>区域</t>
    <phoneticPr fontId="3" type="noConversion"/>
  </si>
  <si>
    <t>2017销售额</t>
    <phoneticPr fontId="3" type="noConversion"/>
  </si>
  <si>
    <t>2018销售额</t>
    <phoneticPr fontId="3" type="noConversion"/>
  </si>
  <si>
    <t>南区</t>
    <phoneticPr fontId="3" type="noConversion"/>
  </si>
  <si>
    <t>南区</t>
    <phoneticPr fontId="3" type="noConversion"/>
  </si>
  <si>
    <t>北区</t>
    <phoneticPr fontId="3" type="noConversion"/>
  </si>
  <si>
    <t>单位：万元</t>
    <phoneticPr fontId="3" type="noConversion"/>
  </si>
  <si>
    <t>合计</t>
    <phoneticPr fontId="3" type="noConversion"/>
  </si>
  <si>
    <t>北区合计</t>
    <phoneticPr fontId="3" type="noConversion"/>
  </si>
  <si>
    <t>南区合计</t>
    <phoneticPr fontId="3" type="noConversion"/>
  </si>
  <si>
    <t>北京C公司</t>
    <phoneticPr fontId="3" type="noConversion"/>
  </si>
  <si>
    <t>天津E公司</t>
    <phoneticPr fontId="3" type="noConversion"/>
  </si>
  <si>
    <t>重庆F公司</t>
    <phoneticPr fontId="3" type="noConversion"/>
  </si>
  <si>
    <t>成都G公司</t>
    <phoneticPr fontId="3" type="noConversion"/>
  </si>
  <si>
    <t>贵阳H公司</t>
    <phoneticPr fontId="3" type="noConversion"/>
  </si>
  <si>
    <t>1，相对/绝对/混合引用课外参考资料</t>
    <phoneticPr fontId="3" type="noConversion"/>
  </si>
  <si>
    <t>/</t>
    <phoneticPr fontId="3" type="noConversion"/>
  </si>
  <si>
    <t>SUMIF函数的条件参数默认为等于状态。
需要使用不等于、大于、小于、大于等于以及小于等于的时候，可以使用连接符号“&amp;"进行拼接</t>
    <phoneticPr fontId="3" type="noConversion"/>
  </si>
  <si>
    <t>广东公司合计</t>
    <phoneticPr fontId="3" type="noConversion"/>
  </si>
  <si>
    <t>大区</t>
    <phoneticPr fontId="3" type="noConversion"/>
  </si>
  <si>
    <t>年度</t>
    <phoneticPr fontId="3" type="noConversion"/>
  </si>
  <si>
    <t>销售额</t>
    <phoneticPr fontId="3" type="noConversion"/>
  </si>
  <si>
    <t>广东B公司</t>
    <phoneticPr fontId="3" type="noConversion"/>
  </si>
  <si>
    <t>贵阳H公司</t>
    <phoneticPr fontId="3" type="noConversion"/>
  </si>
  <si>
    <t>费用明细表</t>
    <phoneticPr fontId="3" type="noConversion"/>
  </si>
  <si>
    <t>部门</t>
    <phoneticPr fontId="3" type="noConversion"/>
  </si>
  <si>
    <t>费用类别</t>
    <phoneticPr fontId="3" type="noConversion"/>
  </si>
  <si>
    <t>金额</t>
    <phoneticPr fontId="3" type="noConversion"/>
  </si>
  <si>
    <t>市场部</t>
    <phoneticPr fontId="3" type="noConversion"/>
  </si>
  <si>
    <t>技术部</t>
    <phoneticPr fontId="3" type="noConversion"/>
  </si>
  <si>
    <t>财务部</t>
    <phoneticPr fontId="3" type="noConversion"/>
  </si>
  <si>
    <t>营销部</t>
    <phoneticPr fontId="3" type="noConversion"/>
  </si>
  <si>
    <t>业务招待费</t>
    <phoneticPr fontId="3" type="noConversion"/>
  </si>
  <si>
    <t>服务器报销</t>
    <phoneticPr fontId="3" type="noConversion"/>
  </si>
  <si>
    <t>办公费</t>
    <phoneticPr fontId="3" type="noConversion"/>
  </si>
  <si>
    <t>采购电脑</t>
    <phoneticPr fontId="3" type="noConversion"/>
  </si>
  <si>
    <t>单位：元</t>
    <phoneticPr fontId="3" type="noConversion"/>
  </si>
  <si>
    <t>差旅费</t>
    <phoneticPr fontId="3" type="noConversion"/>
  </si>
  <si>
    <t>测试部</t>
    <phoneticPr fontId="3" type="noConversion"/>
  </si>
  <si>
    <t>SUMIF(条件区域，求和条件，求和区域）
SUMIFS(求和区域，条件1区域，条件1，条件2区域，条件2，…)</t>
    <phoneticPr fontId="3" type="noConversion"/>
  </si>
  <si>
    <t>求余数</t>
    <phoneticPr fontId="3" type="noConversion"/>
  </si>
  <si>
    <t>除数</t>
    <phoneticPr fontId="3" type="noConversion"/>
  </si>
  <si>
    <t>余数</t>
    <phoneticPr fontId="3" type="noConversion"/>
  </si>
  <si>
    <t>被除数</t>
    <phoneticPr fontId="3" type="noConversion"/>
  </si>
  <si>
    <t>3位小数</t>
    <phoneticPr fontId="3" type="noConversion"/>
  </si>
  <si>
    <t>保留小数点</t>
    <phoneticPr fontId="3" type="noConversion"/>
  </si>
  <si>
    <t>原始数据</t>
    <phoneticPr fontId="3" type="noConversion"/>
  </si>
  <si>
    <t>INT方法</t>
    <phoneticPr fontId="3" type="noConversion"/>
  </si>
  <si>
    <t>ROUND方法</t>
    <phoneticPr fontId="3" type="noConversion"/>
  </si>
  <si>
    <t>去除小数点</t>
    <phoneticPr fontId="3" type="noConversion"/>
  </si>
  <si>
    <t>引用</t>
    <phoneticPr fontId="3" type="noConversion"/>
  </si>
  <si>
    <t>广东+天津公司合计</t>
    <phoneticPr fontId="3" type="noConversion"/>
  </si>
  <si>
    <t>北区超过100万元的合计</t>
    <phoneticPr fontId="3" type="noConversion"/>
  </si>
  <si>
    <t>南区2018年度销售额合计</t>
    <phoneticPr fontId="3" type="noConversion"/>
  </si>
  <si>
    <t>市场部和营销部的业务招待费</t>
    <phoneticPr fontId="3" type="noConversion"/>
  </si>
  <si>
    <t>市场部业务招待费</t>
    <phoneticPr fontId="3" type="noConversion"/>
  </si>
  <si>
    <t>知识点总结</t>
    <phoneticPr fontId="3" type="noConversion"/>
  </si>
  <si>
    <t>助理老师邮箱：mongjoy@163.com</t>
    <phoneticPr fontId="3" type="noConversion"/>
  </si>
  <si>
    <t>商</t>
    <phoneticPr fontId="3" type="noConversion"/>
  </si>
  <si>
    <t>将数值进行取整（向下）</t>
    <phoneticPr fontId="3" type="noConversion"/>
  </si>
  <si>
    <t>/</t>
    <phoneticPr fontId="3" type="noConversion"/>
  </si>
  <si>
    <t>2，SUM/SUMIF/SUMIFS课外扩展资料</t>
    <phoneticPr fontId="3" type="noConversion"/>
  </si>
  <si>
    <t>这里需要：
1，总结学习的知识点；
2，作业里有哪些错误你注意到了没有；
3，有哪些常用数学函数你会使用错误的；</t>
    <phoneticPr fontId="3" type="noConversion"/>
  </si>
  <si>
    <t>P2</t>
    <phoneticPr fontId="3" type="noConversion"/>
  </si>
  <si>
    <t>练习1中的P2</t>
    <phoneticPr fontId="3" type="noConversion"/>
  </si>
  <si>
    <t>辅助.xlsx中Sheet1中的P2</t>
    <phoneticPr fontId="3" type="noConversion"/>
  </si>
  <si>
    <r>
      <t>引用类别：
1，最基础引用</t>
    </r>
    <r>
      <rPr>
        <b/>
        <sz val="11"/>
        <color theme="1" tint="0.34998626667073579"/>
        <rFont val="Microsoft YaHei UI"/>
        <family val="2"/>
        <charset val="134"/>
      </rPr>
      <t>=A1</t>
    </r>
    <r>
      <rPr>
        <sz val="11"/>
        <color theme="1" tint="0.34998626667073579"/>
        <rFont val="Microsoft YaHei UI"/>
        <family val="2"/>
        <charset val="134"/>
      </rPr>
      <t xml:space="preserve">
2，跨Sheet表引用</t>
    </r>
    <r>
      <rPr>
        <b/>
        <sz val="11"/>
        <color theme="1" tint="0.34998626667073579"/>
        <rFont val="Microsoft YaHei UI"/>
        <family val="2"/>
        <charset val="134"/>
      </rPr>
      <t>=Sheet名!A1</t>
    </r>
    <r>
      <rPr>
        <sz val="11"/>
        <color theme="1" tint="0.34998626667073579"/>
        <rFont val="Microsoft YaHei UI"/>
        <family val="2"/>
        <charset val="134"/>
      </rPr>
      <t>，如：</t>
    </r>
    <r>
      <rPr>
        <b/>
        <sz val="11"/>
        <color theme="1" tint="0.34998626667073579"/>
        <rFont val="Microsoft YaHei UI"/>
        <family val="2"/>
        <charset val="134"/>
      </rPr>
      <t>=案例1!A1</t>
    </r>
    <r>
      <rPr>
        <sz val="11"/>
        <color theme="1" tint="0.34998626667073579"/>
        <rFont val="Microsoft YaHei UI"/>
        <family val="2"/>
        <charset val="134"/>
      </rPr>
      <t xml:space="preserve">
3，跨文件引用</t>
    </r>
    <r>
      <rPr>
        <b/>
        <sz val="11"/>
        <color theme="1" tint="0.34998626667073579"/>
        <rFont val="Microsoft YaHei UI"/>
        <family val="2"/>
        <charset val="134"/>
      </rPr>
      <t>=[文件名]Sheet名!$A1</t>
    </r>
    <r>
      <rPr>
        <sz val="11"/>
        <color theme="1" tint="0.34998626667073579"/>
        <rFont val="Microsoft YaHei UI"/>
        <family val="2"/>
        <charset val="134"/>
      </rPr>
      <t>，如：</t>
    </r>
    <r>
      <rPr>
        <b/>
        <sz val="11"/>
        <color theme="1" tint="0.34998626667073579"/>
        <rFont val="Microsoft YaHei UI"/>
        <family val="2"/>
        <charset val="134"/>
      </rPr>
      <t>=[工作簿1]Sheet1!$D$12</t>
    </r>
    <phoneticPr fontId="3" type="noConversion"/>
  </si>
  <si>
    <t>案例1中的P2</t>
    <phoneticPr fontId="3" type="noConversion"/>
  </si>
  <si>
    <t>辅助.xlsx中Sheet1中的P2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</si>
</sst>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14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0" fontId="12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4" borderId="10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/>
    </xf>
    <xf numFmtId="2" fontId="4" fillId="3" borderId="10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57" fontId="11" fillId="0" borderId="11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right" vertical="center" indent="2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57" fontId="11" fillId="0" borderId="8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4" borderId="10" xfId="0" applyNumberFormat="1" applyFont="1" applyFill="1" applyBorder="1" applyAlignment="1">
      <alignment horizontal="center" vertical="center"/>
    </xf>
    <xf numFmtId="0" fontId="4" fillId="3" borderId="6" xfId="0" applyNumberFormat="1" applyFont="1" applyFill="1" applyBorder="1" applyAlignment="1">
      <alignment horizontal="center" vertical="center"/>
    </xf>
    <xf numFmtId="0" fontId="4" fillId="3" borderId="10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3" fillId="0" borderId="4" xfId="10" applyFont="1" applyBorder="1" applyAlignment="1">
      <alignment horizontal="left"/>
    </xf>
    <xf numFmtId="0" fontId="13" fillId="0" borderId="0" xfId="1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right" vertical="center" indent="2"/>
    </xf>
    <xf numFmtId="0" fontId="11" fillId="0" borderId="8" xfId="0" applyFont="1" applyBorder="1" applyAlignment="1">
      <alignment horizontal="right" vertical="center" indent="2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</cellXfs>
  <cellStyles count="11">
    <cellStyle name="标题" xfId="1" builtinId="15"/>
    <cellStyle name="标题 1 2" xfId="8"/>
    <cellStyle name="标题 5" xfId="9"/>
    <cellStyle name="常规" xfId="0" builtinId="0"/>
    <cellStyle name="常规 2" xfId="4"/>
    <cellStyle name="超链接" xfId="10" builtinId="8"/>
    <cellStyle name="货币 2" xfId="7"/>
    <cellStyle name="货币[0] 2" xfId="5"/>
    <cellStyle name="记账代码" xfId="2"/>
    <cellStyle name="解释性文本 2" xfId="6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741;&#2116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P2" t="str">
            <v>芒种学院/Office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p.weixin.qq.com/s?__biz=MzUzMTUyMzkxMg==&amp;mid=2247483733&amp;idx=1&amp;sn=3392c1d502bea156f0409b10afc22de1&amp;chksm=fa407172cd37f864ac8e431e674d81c0a7bed76a65a710134187849ddcf66749273cb4f139e3&amp;token=1214575429&amp;lang=zh_CN" TargetMode="External"/><Relationship Id="rId1" Type="http://schemas.openxmlformats.org/officeDocument/2006/relationships/hyperlink" Target="https://mp.weixin.qq.com/s?__biz=MzUzMTUyMzkxMg==&amp;mid=2247483866&amp;idx=1&amp;sn=26c21ced5543d432fa16d8a86f8a352f&amp;chksm=fa4071fdcd37f8eb75acc51dc23ca07537de6b8d3bbebc7098579b8647c0c97e550601cdbf59&amp;token=1214575429&amp;lang=zh_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6"/>
  <sheetViews>
    <sheetView showGridLines="0" zoomScaleNormal="100" workbookViewId="0">
      <selection activeCell="C12" sqref="C12"/>
    </sheetView>
  </sheetViews>
  <sheetFormatPr defaultRowHeight="16.5" x14ac:dyDescent="0.3"/>
  <cols>
    <col min="1" max="1" width="2.125" style="2" customWidth="1"/>
    <col min="2" max="2" width="7.875" style="2" customWidth="1"/>
    <col min="3" max="3" width="18" style="2" customWidth="1"/>
    <col min="4" max="4" width="59.875" style="2" customWidth="1"/>
    <col min="5" max="5" width="62.375" style="2" customWidth="1"/>
    <col min="6" max="6" width="29.875" style="2" customWidth="1"/>
    <col min="7" max="7" width="34.875" style="2" customWidth="1"/>
    <col min="8" max="16384" width="9" style="2"/>
  </cols>
  <sheetData>
    <row r="1" spans="2:12" ht="55.5" customHeight="1" x14ac:dyDescent="0.3">
      <c r="B1" s="1" t="s">
        <v>7</v>
      </c>
    </row>
    <row r="2" spans="2:12" s="3" customFormat="1" ht="23.25" customHeight="1" x14ac:dyDescent="0.3">
      <c r="B2" s="42" t="s">
        <v>20</v>
      </c>
      <c r="C2" s="42"/>
      <c r="D2" s="42"/>
      <c r="F2" s="10" t="s">
        <v>6</v>
      </c>
      <c r="G2" s="10"/>
      <c r="H2" s="11"/>
    </row>
    <row r="3" spans="2:12" s="3" customFormat="1" ht="19.5" customHeight="1" x14ac:dyDescent="0.3">
      <c r="B3" s="45" t="s">
        <v>53</v>
      </c>
      <c r="C3" s="45"/>
      <c r="D3" s="45"/>
      <c r="F3" s="43" t="s">
        <v>14</v>
      </c>
      <c r="G3" s="43"/>
    </row>
    <row r="4" spans="2:12" s="3" customFormat="1" ht="19.5" customHeight="1" x14ac:dyDescent="0.3">
      <c r="B4" s="46" t="s">
        <v>99</v>
      </c>
      <c r="C4" s="46"/>
      <c r="D4" s="46"/>
      <c r="F4" s="44"/>
      <c r="G4" s="44"/>
    </row>
    <row r="5" spans="2:12" s="3" customFormat="1" ht="19.5" customHeight="1" x14ac:dyDescent="0.3">
      <c r="B5" s="47"/>
      <c r="C5" s="47"/>
      <c r="D5" s="47"/>
      <c r="F5" s="44"/>
      <c r="G5" s="44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10</v>
      </c>
      <c r="E7" s="5" t="s">
        <v>4</v>
      </c>
      <c r="F7" s="5" t="s">
        <v>2</v>
      </c>
      <c r="G7" s="5" t="s">
        <v>5</v>
      </c>
    </row>
    <row r="8" spans="2:12" s="6" customFormat="1" ht="99" customHeight="1" x14ac:dyDescent="0.2">
      <c r="B8" s="6">
        <v>1</v>
      </c>
      <c r="C8" s="6" t="s">
        <v>12</v>
      </c>
      <c r="D8" s="6" t="s">
        <v>3</v>
      </c>
      <c r="E8" s="12" t="s">
        <v>104</v>
      </c>
      <c r="F8" s="6" t="s">
        <v>13</v>
      </c>
      <c r="G8" s="13" t="s">
        <v>15</v>
      </c>
    </row>
    <row r="9" spans="2:12" s="6" customFormat="1" ht="45.75" customHeight="1" x14ac:dyDescent="0.2">
      <c r="B9" s="8">
        <v>2</v>
      </c>
      <c r="C9" s="8" t="s">
        <v>8</v>
      </c>
      <c r="D9" s="8" t="s">
        <v>30</v>
      </c>
      <c r="E9" s="8" t="s">
        <v>31</v>
      </c>
      <c r="F9" s="8" t="s">
        <v>11</v>
      </c>
      <c r="G9" s="14" t="s">
        <v>24</v>
      </c>
    </row>
    <row r="10" spans="2:12" s="6" customFormat="1" ht="86.25" customHeight="1" x14ac:dyDescent="0.2">
      <c r="B10" s="6">
        <v>3</v>
      </c>
      <c r="C10" s="6" t="s">
        <v>16</v>
      </c>
      <c r="D10" s="13" t="s">
        <v>77</v>
      </c>
      <c r="E10" s="13" t="s">
        <v>54</v>
      </c>
      <c r="F10" s="6" t="s">
        <v>21</v>
      </c>
      <c r="G10" s="13" t="s">
        <v>55</v>
      </c>
      <c r="L10" s="7"/>
    </row>
    <row r="11" spans="2:12" s="6" customFormat="1" ht="30" customHeight="1" x14ac:dyDescent="0.2">
      <c r="B11" s="8">
        <v>4</v>
      </c>
      <c r="C11" s="8" t="s">
        <v>17</v>
      </c>
      <c r="D11" s="8" t="s">
        <v>28</v>
      </c>
      <c r="E11" s="8" t="s">
        <v>25</v>
      </c>
      <c r="F11" s="8" t="s">
        <v>22</v>
      </c>
      <c r="G11" s="14" t="s">
        <v>26</v>
      </c>
    </row>
    <row r="12" spans="2:12" s="6" customFormat="1" ht="30" customHeight="1" x14ac:dyDescent="0.2">
      <c r="B12" s="6">
        <v>5</v>
      </c>
      <c r="C12" s="6" t="s">
        <v>18</v>
      </c>
      <c r="D12" s="6" t="s">
        <v>29</v>
      </c>
      <c r="E12" s="13" t="s">
        <v>25</v>
      </c>
      <c r="F12" s="6" t="s">
        <v>23</v>
      </c>
      <c r="G12" s="13" t="s">
        <v>19</v>
      </c>
    </row>
    <row r="13" spans="2:12" s="6" customFormat="1" ht="30" customHeight="1" x14ac:dyDescent="0.2">
      <c r="B13" s="8">
        <v>6</v>
      </c>
      <c r="C13" s="8" t="s">
        <v>9</v>
      </c>
      <c r="D13" s="8" t="s">
        <v>27</v>
      </c>
      <c r="E13" s="8" t="s">
        <v>25</v>
      </c>
      <c r="F13" s="8" t="s">
        <v>97</v>
      </c>
      <c r="G13" s="14" t="s">
        <v>98</v>
      </c>
    </row>
    <row r="14" spans="2:12" s="3" customFormat="1" x14ac:dyDescent="0.3"/>
    <row r="15" spans="2:12" s="3" customFormat="1" x14ac:dyDescent="0.3"/>
    <row r="16" spans="2:12" s="3" customFormat="1" x14ac:dyDescent="0.3"/>
    <row r="17" spans="5:5" s="3" customFormat="1" x14ac:dyDescent="0.3"/>
    <row r="18" spans="5:5" s="3" customFormat="1" x14ac:dyDescent="0.3">
      <c r="E18" s="3" t="e">
        <f>ROUNT</f>
        <v>#NAME?</v>
      </c>
    </row>
    <row r="19" spans="5:5" s="3" customFormat="1" x14ac:dyDescent="0.3"/>
    <row r="20" spans="5:5" s="3" customFormat="1" x14ac:dyDescent="0.3"/>
    <row r="21" spans="5:5" s="3" customFormat="1" x14ac:dyDescent="0.3"/>
    <row r="22" spans="5:5" s="3" customFormat="1" x14ac:dyDescent="0.3"/>
    <row r="23" spans="5:5" s="3" customFormat="1" x14ac:dyDescent="0.3"/>
    <row r="24" spans="5:5" s="3" customFormat="1" x14ac:dyDescent="0.3"/>
    <row r="25" spans="5:5" s="3" customFormat="1" x14ac:dyDescent="0.3"/>
    <row r="26" spans="5:5" s="3" customFormat="1" x14ac:dyDescent="0.3"/>
    <row r="27" spans="5:5" s="3" customFormat="1" x14ac:dyDescent="0.3"/>
    <row r="28" spans="5:5" s="3" customFormat="1" x14ac:dyDescent="0.3"/>
    <row r="29" spans="5:5" s="3" customFormat="1" x14ac:dyDescent="0.3"/>
    <row r="30" spans="5:5" s="3" customFormat="1" x14ac:dyDescent="0.3"/>
    <row r="31" spans="5:5" s="3" customFormat="1" x14ac:dyDescent="0.3"/>
    <row r="32" spans="5:5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  <row r="55" s="9" customFormat="1" x14ac:dyDescent="0.3"/>
    <row r="56" s="9" customFormat="1" x14ac:dyDescent="0.3"/>
  </sheetData>
  <mergeCells count="5">
    <mergeCell ref="B2:D2"/>
    <mergeCell ref="F3:G5"/>
    <mergeCell ref="B3:D3"/>
    <mergeCell ref="B4:D4"/>
    <mergeCell ref="B5:D5"/>
  </mergeCells>
  <phoneticPr fontId="3" type="noConversion"/>
  <hyperlinks>
    <hyperlink ref="B4:D4" r:id="rId1" location="rd" display="2，SUM/SUMIF/SUMIFS课外扩展资料"/>
    <hyperlink ref="B3:D3" r:id="rId2" location="rd" display="1，相对/绝对/混合引用课外参考资料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showGridLines="0" workbookViewId="0">
      <selection activeCell="B17" sqref="B17"/>
    </sheetView>
  </sheetViews>
  <sheetFormatPr defaultColWidth="15.375" defaultRowHeight="25.5" customHeight="1" x14ac:dyDescent="0.2"/>
  <cols>
    <col min="1" max="1" width="26.625" style="15" customWidth="1"/>
    <col min="2" max="2" width="15.75" style="15" customWidth="1"/>
    <col min="3" max="3" width="1.375" style="15" customWidth="1"/>
    <col min="4" max="7" width="15.375" style="15"/>
    <col min="8" max="8" width="1.125" style="15" customWidth="1"/>
    <col min="9" max="12" width="16.875" style="15" customWidth="1"/>
    <col min="13" max="13" width="2.125" style="15" customWidth="1"/>
    <col min="14" max="14" width="16.75" style="15" customWidth="1"/>
    <col min="15" max="15" width="18.375" style="15" customWidth="1"/>
    <col min="16" max="16" width="15.375" style="15"/>
    <col min="17" max="17" width="1.625" style="15" customWidth="1"/>
    <col min="18" max="20" width="8.75" style="15" customWidth="1"/>
    <col min="21" max="21" width="2.25" style="15" customWidth="1"/>
    <col min="22" max="23" width="15.375" style="15"/>
    <col min="24" max="24" width="1.875" style="15" customWidth="1"/>
    <col min="25" max="16384" width="15.375" style="15"/>
  </cols>
  <sheetData>
    <row r="1" spans="1:27" ht="30.75" customHeight="1" x14ac:dyDescent="0.2">
      <c r="A1" s="56" t="s">
        <v>88</v>
      </c>
      <c r="B1" s="56"/>
      <c r="D1" s="56" t="s">
        <v>32</v>
      </c>
      <c r="E1" s="56"/>
      <c r="F1" s="56"/>
      <c r="G1" s="56"/>
      <c r="I1" s="56" t="s">
        <v>32</v>
      </c>
      <c r="J1" s="56"/>
      <c r="K1" s="56"/>
      <c r="L1" s="56"/>
      <c r="N1" s="57" t="s">
        <v>62</v>
      </c>
      <c r="O1" s="57"/>
      <c r="P1" s="57"/>
      <c r="R1" s="56" t="s">
        <v>78</v>
      </c>
      <c r="S1" s="56"/>
      <c r="T1" s="56"/>
      <c r="V1" s="56" t="s">
        <v>83</v>
      </c>
      <c r="W1" s="56"/>
      <c r="Y1" s="57" t="s">
        <v>87</v>
      </c>
      <c r="Z1" s="57"/>
      <c r="AA1" s="57"/>
    </row>
    <row r="2" spans="1:27" ht="22.5" customHeight="1" x14ac:dyDescent="0.2">
      <c r="A2" s="17" t="s">
        <v>101</v>
      </c>
      <c r="B2" s="18" t="str">
        <f>P2</f>
        <v>单位：元</v>
      </c>
      <c r="D2" s="54" t="s">
        <v>33</v>
      </c>
      <c r="E2" s="55"/>
      <c r="F2" s="52" t="s">
        <v>44</v>
      </c>
      <c r="G2" s="53"/>
      <c r="I2" s="54" t="s">
        <v>33</v>
      </c>
      <c r="J2" s="55"/>
      <c r="K2" s="52" t="s">
        <v>44</v>
      </c>
      <c r="L2" s="53"/>
      <c r="N2" s="28" t="s">
        <v>33</v>
      </c>
      <c r="O2" s="30">
        <v>43466</v>
      </c>
      <c r="P2" s="31" t="s">
        <v>74</v>
      </c>
      <c r="R2" s="32" t="s">
        <v>81</v>
      </c>
      <c r="S2" s="30" t="s">
        <v>79</v>
      </c>
      <c r="T2" s="33" t="s">
        <v>80</v>
      </c>
      <c r="V2" s="32" t="s">
        <v>84</v>
      </c>
      <c r="W2" s="34" t="s">
        <v>82</v>
      </c>
      <c r="Y2" s="32" t="s">
        <v>84</v>
      </c>
      <c r="Z2" s="29" t="s">
        <v>86</v>
      </c>
      <c r="AA2" s="33" t="s">
        <v>85</v>
      </c>
    </row>
    <row r="3" spans="1:27" ht="25.5" customHeight="1" x14ac:dyDescent="0.2">
      <c r="A3" s="17" t="s">
        <v>102</v>
      </c>
      <c r="B3" s="18" t="str">
        <f>练习1!P2</f>
        <v>单位：元</v>
      </c>
      <c r="D3" s="17" t="s">
        <v>34</v>
      </c>
      <c r="E3" s="17" t="s">
        <v>38</v>
      </c>
      <c r="F3" s="17" t="s">
        <v>39</v>
      </c>
      <c r="G3" s="17" t="s">
        <v>40</v>
      </c>
      <c r="I3" s="17" t="s">
        <v>34</v>
      </c>
      <c r="J3" s="17" t="s">
        <v>57</v>
      </c>
      <c r="K3" s="17" t="s">
        <v>58</v>
      </c>
      <c r="L3" s="17" t="s">
        <v>59</v>
      </c>
      <c r="N3" s="17" t="s">
        <v>63</v>
      </c>
      <c r="O3" s="17" t="s">
        <v>64</v>
      </c>
      <c r="P3" s="17" t="s">
        <v>65</v>
      </c>
      <c r="R3" s="18">
        <v>210</v>
      </c>
      <c r="S3" s="18">
        <v>1</v>
      </c>
      <c r="T3" s="18">
        <f>MOD(R3,S3)</f>
        <v>0</v>
      </c>
      <c r="V3" s="18">
        <v>859.64083952440808</v>
      </c>
      <c r="W3" s="18">
        <f>ROUND(V3,3)</f>
        <v>859.64099999999996</v>
      </c>
      <c r="Y3" s="18">
        <v>859.64083952440808</v>
      </c>
      <c r="Z3" s="18">
        <f>ROUND(Y3,0)</f>
        <v>860</v>
      </c>
      <c r="AA3" s="18">
        <f>INT(Y3)</f>
        <v>859</v>
      </c>
    </row>
    <row r="4" spans="1:27" ht="25.5" customHeight="1" x14ac:dyDescent="0.2">
      <c r="A4" s="17" t="s">
        <v>103</v>
      </c>
      <c r="B4" s="18" t="str">
        <f>[1]Sheet1!$P$2</f>
        <v>芒种学院/Office</v>
      </c>
      <c r="D4" s="18" t="s">
        <v>35</v>
      </c>
      <c r="E4" s="18" t="s">
        <v>41</v>
      </c>
      <c r="F4" s="19">
        <v>268</v>
      </c>
      <c r="G4" s="19">
        <v>119</v>
      </c>
      <c r="I4" s="39" t="s">
        <v>35</v>
      </c>
      <c r="J4" s="39" t="s">
        <v>41</v>
      </c>
      <c r="K4" s="40">
        <v>2017</v>
      </c>
      <c r="L4" s="41">
        <v>268</v>
      </c>
      <c r="N4" s="18" t="s">
        <v>66</v>
      </c>
      <c r="O4" s="18" t="s">
        <v>70</v>
      </c>
      <c r="P4" s="18">
        <v>7140</v>
      </c>
      <c r="R4" s="20">
        <v>169</v>
      </c>
      <c r="S4" s="20">
        <v>7</v>
      </c>
      <c r="T4" s="20">
        <f t="shared" ref="T4:T13" si="0">MOD(R4,S4)</f>
        <v>1</v>
      </c>
      <c r="V4" s="20">
        <v>914.09839230424427</v>
      </c>
      <c r="W4" s="20">
        <f t="shared" ref="W4:W13" si="1">ROUND(V4,3)</f>
        <v>914.09799999999996</v>
      </c>
      <c r="Y4" s="20">
        <v>914.09839230424427</v>
      </c>
      <c r="Z4" s="20">
        <f t="shared" ref="Z4:Z13" si="2">ROUND(Y4,0)</f>
        <v>914</v>
      </c>
      <c r="AA4" s="20">
        <f t="shared" ref="AA4:AA13" si="3">INT(Y4)</f>
        <v>914</v>
      </c>
    </row>
    <row r="5" spans="1:27" ht="25.5" customHeight="1" x14ac:dyDescent="0.2">
      <c r="D5" s="20" t="s">
        <v>36</v>
      </c>
      <c r="E5" s="20" t="s">
        <v>42</v>
      </c>
      <c r="F5" s="21">
        <v>265</v>
      </c>
      <c r="G5" s="21">
        <v>217</v>
      </c>
      <c r="I5" s="24"/>
      <c r="J5" s="24"/>
      <c r="K5" s="36">
        <v>2018</v>
      </c>
      <c r="L5" s="24">
        <v>119</v>
      </c>
      <c r="N5" s="20" t="s">
        <v>67</v>
      </c>
      <c r="O5" s="20" t="s">
        <v>71</v>
      </c>
      <c r="P5" s="20">
        <v>4099</v>
      </c>
      <c r="R5" s="18">
        <v>386</v>
      </c>
      <c r="S5" s="18">
        <v>2</v>
      </c>
      <c r="T5" s="18">
        <f t="shared" si="0"/>
        <v>0</v>
      </c>
      <c r="V5" s="18">
        <v>590.80542811808482</v>
      </c>
      <c r="W5" s="18">
        <f t="shared" si="1"/>
        <v>590.80499999999995</v>
      </c>
      <c r="Y5" s="18">
        <v>590.80542811808482</v>
      </c>
      <c r="Z5" s="18">
        <f t="shared" si="2"/>
        <v>591</v>
      </c>
      <c r="AA5" s="18">
        <f t="shared" si="3"/>
        <v>590</v>
      </c>
    </row>
    <row r="6" spans="1:27" ht="25.5" customHeight="1" x14ac:dyDescent="0.2">
      <c r="D6" s="18" t="s">
        <v>48</v>
      </c>
      <c r="E6" s="18" t="s">
        <v>43</v>
      </c>
      <c r="F6" s="19">
        <v>182</v>
      </c>
      <c r="G6" s="19">
        <v>206</v>
      </c>
      <c r="I6" s="25" t="s">
        <v>60</v>
      </c>
      <c r="J6" s="25" t="s">
        <v>42</v>
      </c>
      <c r="K6" s="37">
        <v>2017</v>
      </c>
      <c r="L6" s="26">
        <v>265</v>
      </c>
      <c r="N6" s="18" t="s">
        <v>66</v>
      </c>
      <c r="O6" s="18" t="s">
        <v>72</v>
      </c>
      <c r="P6" s="18">
        <v>2793</v>
      </c>
      <c r="R6" s="20">
        <v>911</v>
      </c>
      <c r="S6" s="20">
        <v>7</v>
      </c>
      <c r="T6" s="20">
        <f t="shared" si="0"/>
        <v>1</v>
      </c>
      <c r="V6" s="20">
        <v>5.5208589500098659</v>
      </c>
      <c r="W6" s="20">
        <f t="shared" si="1"/>
        <v>5.5209999999999999</v>
      </c>
      <c r="Y6" s="20">
        <v>5.5208589500098659</v>
      </c>
      <c r="Z6" s="20">
        <f t="shared" si="2"/>
        <v>6</v>
      </c>
      <c r="AA6" s="20">
        <f t="shared" si="3"/>
        <v>5</v>
      </c>
    </row>
    <row r="7" spans="1:27" ht="25.5" customHeight="1" x14ac:dyDescent="0.2">
      <c r="D7" s="20" t="s">
        <v>37</v>
      </c>
      <c r="E7" s="20" t="s">
        <v>43</v>
      </c>
      <c r="F7" s="21">
        <v>97</v>
      </c>
      <c r="G7" s="21">
        <v>214</v>
      </c>
      <c r="I7" s="27"/>
      <c r="J7" s="27"/>
      <c r="K7" s="38">
        <v>2018</v>
      </c>
      <c r="L7" s="27">
        <v>217</v>
      </c>
      <c r="N7" s="20" t="s">
        <v>68</v>
      </c>
      <c r="O7" s="20" t="s">
        <v>75</v>
      </c>
      <c r="P7" s="20">
        <v>1987</v>
      </c>
      <c r="R7" s="18">
        <v>905</v>
      </c>
      <c r="S7" s="18">
        <v>9</v>
      </c>
      <c r="T7" s="18">
        <f t="shared" si="0"/>
        <v>5</v>
      </c>
      <c r="V7" s="18">
        <v>952.61667992494722</v>
      </c>
      <c r="W7" s="18">
        <f t="shared" si="1"/>
        <v>952.61699999999996</v>
      </c>
      <c r="Y7" s="18">
        <v>952.61667992494722</v>
      </c>
      <c r="Z7" s="18">
        <f t="shared" si="2"/>
        <v>953</v>
      </c>
      <c r="AA7" s="18">
        <f t="shared" si="3"/>
        <v>952</v>
      </c>
    </row>
    <row r="8" spans="1:27" ht="25.5" customHeight="1" x14ac:dyDescent="0.2">
      <c r="D8" s="18" t="s">
        <v>49</v>
      </c>
      <c r="E8" s="18" t="s">
        <v>43</v>
      </c>
      <c r="F8" s="19">
        <v>237</v>
      </c>
      <c r="G8" s="19">
        <v>233</v>
      </c>
      <c r="I8" s="39" t="s">
        <v>48</v>
      </c>
      <c r="J8" s="39" t="s">
        <v>43</v>
      </c>
      <c r="K8" s="40">
        <v>2017</v>
      </c>
      <c r="L8" s="41">
        <v>182</v>
      </c>
      <c r="N8" s="18" t="s">
        <v>69</v>
      </c>
      <c r="O8" s="18" t="s">
        <v>72</v>
      </c>
      <c r="P8" s="18">
        <v>3132</v>
      </c>
      <c r="R8" s="20">
        <v>980</v>
      </c>
      <c r="S8" s="20">
        <v>2</v>
      </c>
      <c r="T8" s="20">
        <f t="shared" si="0"/>
        <v>0</v>
      </c>
      <c r="V8" s="20">
        <v>859.05473934444183</v>
      </c>
      <c r="W8" s="20">
        <f t="shared" si="1"/>
        <v>859.05499999999995</v>
      </c>
      <c r="Y8" s="20">
        <v>859.05473934444183</v>
      </c>
      <c r="Z8" s="20">
        <f t="shared" si="2"/>
        <v>859</v>
      </c>
      <c r="AA8" s="20">
        <f t="shared" si="3"/>
        <v>859</v>
      </c>
    </row>
    <row r="9" spans="1:27" ht="25.5" customHeight="1" x14ac:dyDescent="0.2">
      <c r="D9" s="20" t="s">
        <v>50</v>
      </c>
      <c r="E9" s="20" t="s">
        <v>42</v>
      </c>
      <c r="F9" s="21">
        <v>121</v>
      </c>
      <c r="G9" s="21">
        <v>68</v>
      </c>
      <c r="I9" s="24"/>
      <c r="J9" s="24"/>
      <c r="K9" s="36">
        <v>2018</v>
      </c>
      <c r="L9" s="24">
        <v>206</v>
      </c>
      <c r="N9" s="20" t="s">
        <v>69</v>
      </c>
      <c r="O9" s="20" t="s">
        <v>70</v>
      </c>
      <c r="P9" s="20">
        <v>6045</v>
      </c>
      <c r="R9" s="18">
        <v>352</v>
      </c>
      <c r="S9" s="18">
        <v>4</v>
      </c>
      <c r="T9" s="18">
        <f t="shared" si="0"/>
        <v>0</v>
      </c>
      <c r="V9" s="18">
        <v>124.08618078533429</v>
      </c>
      <c r="W9" s="18">
        <f t="shared" si="1"/>
        <v>124.086</v>
      </c>
      <c r="Y9" s="18">
        <v>124.08618078533429</v>
      </c>
      <c r="Z9" s="18">
        <f t="shared" si="2"/>
        <v>124</v>
      </c>
      <c r="AA9" s="18">
        <f t="shared" si="3"/>
        <v>124</v>
      </c>
    </row>
    <row r="10" spans="1:27" ht="25.5" customHeight="1" x14ac:dyDescent="0.2">
      <c r="D10" s="18" t="s">
        <v>51</v>
      </c>
      <c r="E10" s="18" t="s">
        <v>42</v>
      </c>
      <c r="F10" s="19">
        <v>105</v>
      </c>
      <c r="G10" s="19">
        <v>151</v>
      </c>
      <c r="I10" s="25" t="s">
        <v>37</v>
      </c>
      <c r="J10" s="25" t="s">
        <v>43</v>
      </c>
      <c r="K10" s="37">
        <v>2017</v>
      </c>
      <c r="L10" s="26">
        <v>97</v>
      </c>
      <c r="N10" s="18" t="s">
        <v>66</v>
      </c>
      <c r="O10" s="18" t="s">
        <v>70</v>
      </c>
      <c r="P10" s="18">
        <v>9870</v>
      </c>
      <c r="R10" s="20">
        <v>593</v>
      </c>
      <c r="S10" s="20">
        <v>8</v>
      </c>
      <c r="T10" s="20">
        <f t="shared" si="0"/>
        <v>1</v>
      </c>
      <c r="V10" s="20">
        <v>921.91823188055935</v>
      </c>
      <c r="W10" s="20">
        <f t="shared" si="1"/>
        <v>921.91800000000001</v>
      </c>
      <c r="Y10" s="20">
        <v>921.91823188055935</v>
      </c>
      <c r="Z10" s="20">
        <f t="shared" si="2"/>
        <v>922</v>
      </c>
      <c r="AA10" s="20">
        <f t="shared" si="3"/>
        <v>921</v>
      </c>
    </row>
    <row r="11" spans="1:27" ht="25.5" customHeight="1" x14ac:dyDescent="0.2">
      <c r="D11" s="20" t="s">
        <v>52</v>
      </c>
      <c r="E11" s="20" t="s">
        <v>42</v>
      </c>
      <c r="F11" s="21">
        <v>191</v>
      </c>
      <c r="G11" s="21">
        <v>226</v>
      </c>
      <c r="I11" s="27"/>
      <c r="J11" s="27"/>
      <c r="K11" s="38">
        <v>2018</v>
      </c>
      <c r="L11" s="27">
        <v>214</v>
      </c>
      <c r="N11" s="20" t="s">
        <v>76</v>
      </c>
      <c r="O11" s="20" t="s">
        <v>73</v>
      </c>
      <c r="P11" s="20">
        <v>7985</v>
      </c>
      <c r="R11" s="18">
        <v>526</v>
      </c>
      <c r="S11" s="18">
        <v>7</v>
      </c>
      <c r="T11" s="18">
        <f t="shared" si="0"/>
        <v>1</v>
      </c>
      <c r="V11" s="18">
        <v>313.70292438781456</v>
      </c>
      <c r="W11" s="18">
        <f t="shared" si="1"/>
        <v>313.70299999999997</v>
      </c>
      <c r="Y11" s="18">
        <v>313.70292438781456</v>
      </c>
      <c r="Z11" s="18">
        <f t="shared" si="2"/>
        <v>314</v>
      </c>
      <c r="AA11" s="18">
        <f t="shared" si="3"/>
        <v>313</v>
      </c>
    </row>
    <row r="12" spans="1:27" ht="25.5" customHeight="1" x14ac:dyDescent="0.2">
      <c r="D12" s="48" t="s">
        <v>45</v>
      </c>
      <c r="E12" s="48"/>
      <c r="F12" s="19">
        <f>SUM(F4:F11)</f>
        <v>1466</v>
      </c>
      <c r="G12" s="19">
        <f>SUM(G4:G11)</f>
        <v>1434</v>
      </c>
      <c r="I12" s="39" t="s">
        <v>49</v>
      </c>
      <c r="J12" s="39" t="s">
        <v>43</v>
      </c>
      <c r="K12" s="40">
        <v>2017</v>
      </c>
      <c r="L12" s="41">
        <v>237</v>
      </c>
      <c r="N12" s="48" t="s">
        <v>45</v>
      </c>
      <c r="O12" s="48"/>
      <c r="P12" s="18"/>
      <c r="R12" s="20">
        <v>306</v>
      </c>
      <c r="S12" s="20">
        <v>4</v>
      </c>
      <c r="T12" s="20">
        <f t="shared" si="0"/>
        <v>2</v>
      </c>
      <c r="V12" s="20">
        <v>744.01885912744012</v>
      </c>
      <c r="W12" s="20">
        <f t="shared" si="1"/>
        <v>744.01900000000001</v>
      </c>
      <c r="Y12" s="20">
        <v>744.01885912744012</v>
      </c>
      <c r="Z12" s="20">
        <f t="shared" si="2"/>
        <v>744</v>
      </c>
      <c r="AA12" s="20">
        <f t="shared" si="3"/>
        <v>744</v>
      </c>
    </row>
    <row r="13" spans="1:27" ht="25.5" customHeight="1" x14ac:dyDescent="0.2">
      <c r="D13" s="48" t="s">
        <v>46</v>
      </c>
      <c r="E13" s="48"/>
      <c r="F13" s="18">
        <f>SUMIF(案例1!$E$4:$E$11,"北区",案例1!F4:F11)</f>
        <v>516</v>
      </c>
      <c r="G13" s="18">
        <f>SUMIF(案例1!$E$4:$E$11,"北区",案例1!G4:G11)</f>
        <v>653</v>
      </c>
      <c r="I13" s="24"/>
      <c r="J13" s="24"/>
      <c r="K13" s="36">
        <v>2018</v>
      </c>
      <c r="L13" s="24">
        <v>233</v>
      </c>
      <c r="N13" s="48" t="s">
        <v>93</v>
      </c>
      <c r="O13" s="48"/>
      <c r="P13" s="18">
        <f>SUMIFS(P4:P11,N4:N11,"市场部",O4:O11,"业务招待费")</f>
        <v>17010</v>
      </c>
      <c r="R13" s="18">
        <v>832</v>
      </c>
      <c r="S13" s="18">
        <v>2</v>
      </c>
      <c r="T13" s="18">
        <f t="shared" si="0"/>
        <v>0</v>
      </c>
      <c r="V13" s="18">
        <v>520.63045009331904</v>
      </c>
      <c r="W13" s="18">
        <f t="shared" si="1"/>
        <v>520.63</v>
      </c>
      <c r="Y13" s="18">
        <v>520.63045009331904</v>
      </c>
      <c r="Z13" s="18">
        <f t="shared" si="2"/>
        <v>521</v>
      </c>
      <c r="AA13" s="18">
        <f t="shared" si="3"/>
        <v>520</v>
      </c>
    </row>
    <row r="14" spans="1:27" ht="25.5" customHeight="1" x14ac:dyDescent="0.2">
      <c r="D14" s="48" t="s">
        <v>47</v>
      </c>
      <c r="E14" s="48"/>
      <c r="F14" s="18">
        <f>SUMIF(案例1!$E$4:$E$11,"南区",案例1!F4:F11)</f>
        <v>950</v>
      </c>
      <c r="G14" s="18">
        <f>SUMIF(案例1!$E$4:$E$11,"南区",案例1!G4:G11)</f>
        <v>781</v>
      </c>
      <c r="I14" s="25" t="s">
        <v>50</v>
      </c>
      <c r="J14" s="25" t="s">
        <v>42</v>
      </c>
      <c r="K14" s="37">
        <v>2017</v>
      </c>
      <c r="L14" s="26">
        <v>121</v>
      </c>
    </row>
    <row r="15" spans="1:27" ht="25.5" customHeight="1" x14ac:dyDescent="0.2">
      <c r="D15" s="48" t="s">
        <v>56</v>
      </c>
      <c r="E15" s="48"/>
      <c r="F15" s="18">
        <f>SUMIF($D$4:$D$11,"广东*",F4:F11)</f>
        <v>533</v>
      </c>
      <c r="G15" s="18">
        <f>SUMIF($D$4:$D$11,"广东*",G4:G11)</f>
        <v>336</v>
      </c>
      <c r="I15" s="27"/>
      <c r="J15" s="27"/>
      <c r="K15" s="38">
        <v>2018</v>
      </c>
      <c r="L15" s="27">
        <v>68</v>
      </c>
    </row>
    <row r="16" spans="1:27" ht="25.5" customHeight="1" x14ac:dyDescent="0.2">
      <c r="I16" s="39" t="s">
        <v>51</v>
      </c>
      <c r="J16" s="39" t="s">
        <v>42</v>
      </c>
      <c r="K16" s="40">
        <v>2017</v>
      </c>
      <c r="L16" s="41">
        <v>105</v>
      </c>
    </row>
    <row r="17" spans="5:12" ht="25.5" customHeight="1" x14ac:dyDescent="0.2">
      <c r="E17" s="16"/>
      <c r="I17" s="24"/>
      <c r="J17" s="24"/>
      <c r="K17" s="36">
        <v>2018</v>
      </c>
      <c r="L17" s="24">
        <v>151</v>
      </c>
    </row>
    <row r="18" spans="5:12" ht="25.5" customHeight="1" x14ac:dyDescent="0.2">
      <c r="I18" s="25" t="s">
        <v>52</v>
      </c>
      <c r="J18" s="25" t="s">
        <v>42</v>
      </c>
      <c r="K18" s="37">
        <v>2017</v>
      </c>
      <c r="L18" s="26">
        <v>191</v>
      </c>
    </row>
    <row r="19" spans="5:12" ht="25.5" customHeight="1" x14ac:dyDescent="0.2">
      <c r="I19" s="27"/>
      <c r="J19" s="27"/>
      <c r="K19" s="38">
        <v>2018</v>
      </c>
      <c r="L19" s="27">
        <v>226</v>
      </c>
    </row>
    <row r="20" spans="5:12" ht="25.5" customHeight="1" x14ac:dyDescent="0.2">
      <c r="I20" s="49" t="s">
        <v>91</v>
      </c>
      <c r="J20" s="50"/>
      <c r="K20" s="51"/>
      <c r="L20" s="19">
        <f ca="1">SUMIF(J4:J19,"南区",L5)</f>
        <v>781</v>
      </c>
    </row>
  </sheetData>
  <mergeCells count="18">
    <mergeCell ref="Y1:AA1"/>
    <mergeCell ref="A1:B1"/>
    <mergeCell ref="N12:O12"/>
    <mergeCell ref="N13:O13"/>
    <mergeCell ref="N1:P1"/>
    <mergeCell ref="R1:T1"/>
    <mergeCell ref="V1:W1"/>
    <mergeCell ref="D15:E15"/>
    <mergeCell ref="I20:K20"/>
    <mergeCell ref="K2:L2"/>
    <mergeCell ref="I2:J2"/>
    <mergeCell ref="I1:L1"/>
    <mergeCell ref="D2:E2"/>
    <mergeCell ref="F2:G2"/>
    <mergeCell ref="D12:E12"/>
    <mergeCell ref="D13:E13"/>
    <mergeCell ref="D14:E14"/>
    <mergeCell ref="D1:G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showGridLines="0" tabSelected="1" workbookViewId="0">
      <selection activeCell="K11" sqref="K11"/>
    </sheetView>
  </sheetViews>
  <sheetFormatPr defaultColWidth="15.375" defaultRowHeight="25.5" customHeight="1" x14ac:dyDescent="0.2"/>
  <cols>
    <col min="1" max="1" width="26.625" style="15" customWidth="1"/>
    <col min="2" max="2" width="15.75" style="15" customWidth="1"/>
    <col min="3" max="3" width="1.375" style="15" customWidth="1"/>
    <col min="4" max="7" width="15.375" style="15"/>
    <col min="8" max="8" width="1.125" style="15" customWidth="1"/>
    <col min="9" max="12" width="16.875" style="15" customWidth="1"/>
    <col min="13" max="13" width="2.125" style="15" customWidth="1"/>
    <col min="14" max="14" width="16.75" style="15" customWidth="1"/>
    <col min="15" max="15" width="18.375" style="15" customWidth="1"/>
    <col min="16" max="16" width="15.375" style="15"/>
    <col min="17" max="17" width="1.625" style="15" customWidth="1"/>
    <col min="18" max="21" width="8.75" style="15" customWidth="1"/>
    <col min="22" max="22" width="2.25" style="15" customWidth="1"/>
    <col min="23" max="24" width="15.375" style="15"/>
    <col min="25" max="25" width="1.875" style="15" customWidth="1"/>
    <col min="26" max="16384" width="15.375" style="15"/>
  </cols>
  <sheetData>
    <row r="1" spans="1:28" ht="30.75" customHeight="1" x14ac:dyDescent="0.2">
      <c r="A1" s="56" t="s">
        <v>88</v>
      </c>
      <c r="B1" s="56"/>
      <c r="D1" s="56" t="s">
        <v>32</v>
      </c>
      <c r="E1" s="56"/>
      <c r="F1" s="56"/>
      <c r="G1" s="56"/>
      <c r="I1" s="56" t="s">
        <v>32</v>
      </c>
      <c r="J1" s="56"/>
      <c r="K1" s="56"/>
      <c r="L1" s="56"/>
      <c r="N1" s="57" t="s">
        <v>62</v>
      </c>
      <c r="O1" s="57"/>
      <c r="P1" s="57"/>
      <c r="R1" s="56" t="s">
        <v>78</v>
      </c>
      <c r="S1" s="56"/>
      <c r="T1" s="56"/>
      <c r="U1" s="56"/>
      <c r="W1" s="56" t="s">
        <v>83</v>
      </c>
      <c r="X1" s="56"/>
      <c r="Z1" s="57" t="s">
        <v>87</v>
      </c>
      <c r="AA1" s="57"/>
      <c r="AB1" s="57"/>
    </row>
    <row r="2" spans="1:28" ht="22.5" customHeight="1" x14ac:dyDescent="0.2">
      <c r="A2" s="17" t="s">
        <v>101</v>
      </c>
      <c r="B2" s="18"/>
      <c r="D2" s="54" t="s">
        <v>33</v>
      </c>
      <c r="E2" s="55"/>
      <c r="F2" s="52" t="s">
        <v>44</v>
      </c>
      <c r="G2" s="53"/>
      <c r="I2" s="54" t="s">
        <v>33</v>
      </c>
      <c r="J2" s="55"/>
      <c r="K2" s="52" t="s">
        <v>44</v>
      </c>
      <c r="L2" s="53"/>
      <c r="N2" s="28" t="s">
        <v>33</v>
      </c>
      <c r="O2" s="30">
        <v>43466</v>
      </c>
      <c r="P2" s="31" t="s">
        <v>74</v>
      </c>
      <c r="R2" s="32" t="s">
        <v>81</v>
      </c>
      <c r="S2" s="30" t="s">
        <v>79</v>
      </c>
      <c r="T2" s="30" t="s">
        <v>96</v>
      </c>
      <c r="U2" s="33" t="s">
        <v>80</v>
      </c>
      <c r="W2" s="32" t="s">
        <v>84</v>
      </c>
      <c r="X2" s="34" t="s">
        <v>82</v>
      </c>
      <c r="Z2" s="32" t="s">
        <v>84</v>
      </c>
      <c r="AA2" s="29" t="s">
        <v>86</v>
      </c>
      <c r="AB2" s="33" t="s">
        <v>85</v>
      </c>
    </row>
    <row r="3" spans="1:28" ht="25.5" customHeight="1" x14ac:dyDescent="0.2">
      <c r="A3" s="17" t="s">
        <v>105</v>
      </c>
      <c r="B3" s="18"/>
      <c r="D3" s="17" t="s">
        <v>34</v>
      </c>
      <c r="E3" s="17" t="s">
        <v>38</v>
      </c>
      <c r="F3" s="17" t="s">
        <v>39</v>
      </c>
      <c r="G3" s="17" t="s">
        <v>40</v>
      </c>
      <c r="I3" s="17" t="s">
        <v>34</v>
      </c>
      <c r="J3" s="17" t="s">
        <v>57</v>
      </c>
      <c r="K3" s="17" t="s">
        <v>58</v>
      </c>
      <c r="L3" s="17" t="s">
        <v>59</v>
      </c>
      <c r="N3" s="17" t="s">
        <v>63</v>
      </c>
      <c r="O3" s="17" t="s">
        <v>64</v>
      </c>
      <c r="P3" s="17" t="s">
        <v>65</v>
      </c>
      <c r="R3" s="18">
        <v>48</v>
      </c>
      <c r="S3" s="18">
        <v>1</v>
      </c>
      <c r="T3" s="18"/>
      <c r="U3" s="18"/>
      <c r="W3" s="18">
        <v>535.31010293832537</v>
      </c>
      <c r="X3" s="18"/>
      <c r="Z3" s="18">
        <v>535.31010293832537</v>
      </c>
      <c r="AA3" s="18"/>
      <c r="AB3" s="18"/>
    </row>
    <row r="4" spans="1:28" ht="25.5" customHeight="1" x14ac:dyDescent="0.2">
      <c r="A4" s="17" t="s">
        <v>106</v>
      </c>
      <c r="B4" s="18"/>
      <c r="D4" s="18" t="s">
        <v>35</v>
      </c>
      <c r="E4" s="18" t="s">
        <v>41</v>
      </c>
      <c r="F4" s="19">
        <v>268</v>
      </c>
      <c r="G4" s="19">
        <v>119</v>
      </c>
      <c r="I4" s="22" t="s">
        <v>35</v>
      </c>
      <c r="J4" s="22" t="s">
        <v>41</v>
      </c>
      <c r="K4" s="35">
        <v>2017</v>
      </c>
      <c r="L4" s="23">
        <v>268</v>
      </c>
      <c r="N4" s="18" t="s">
        <v>66</v>
      </c>
      <c r="O4" s="18" t="s">
        <v>70</v>
      </c>
      <c r="P4" s="18">
        <v>455</v>
      </c>
      <c r="R4" s="20">
        <v>680</v>
      </c>
      <c r="S4" s="20">
        <v>7</v>
      </c>
      <c r="T4" s="20"/>
      <c r="U4" s="20"/>
      <c r="W4" s="20">
        <v>622.83456360863215</v>
      </c>
      <c r="X4" s="20"/>
      <c r="Z4" s="20">
        <v>622.83456360863215</v>
      </c>
      <c r="AA4" s="20"/>
      <c r="AB4" s="20"/>
    </row>
    <row r="5" spans="1:28" ht="25.5" customHeight="1" x14ac:dyDescent="0.2">
      <c r="D5" s="20" t="s">
        <v>36</v>
      </c>
      <c r="E5" s="20" t="s">
        <v>42</v>
      </c>
      <c r="F5" s="21">
        <v>265</v>
      </c>
      <c r="G5" s="21">
        <v>217</v>
      </c>
      <c r="I5" s="24"/>
      <c r="J5" s="24"/>
      <c r="K5" s="36">
        <v>2018</v>
      </c>
      <c r="L5" s="24">
        <v>119</v>
      </c>
      <c r="N5" s="20" t="s">
        <v>67</v>
      </c>
      <c r="O5" s="20" t="s">
        <v>71</v>
      </c>
      <c r="P5" s="20">
        <v>954</v>
      </c>
      <c r="R5" s="18">
        <v>428</v>
      </c>
      <c r="S5" s="18">
        <v>2</v>
      </c>
      <c r="T5" s="18"/>
      <c r="U5" s="18"/>
      <c r="W5" s="18">
        <v>73.068214370545562</v>
      </c>
      <c r="X5" s="18"/>
      <c r="Z5" s="18">
        <v>73.068214370545562</v>
      </c>
      <c r="AA5" s="18"/>
      <c r="AB5" s="18"/>
    </row>
    <row r="6" spans="1:28" ht="25.5" customHeight="1" x14ac:dyDescent="0.2">
      <c r="A6" s="56" t="s">
        <v>94</v>
      </c>
      <c r="B6" s="56"/>
      <c r="D6" s="18" t="s">
        <v>48</v>
      </c>
      <c r="E6" s="18" t="s">
        <v>43</v>
      </c>
      <c r="F6" s="19">
        <v>182</v>
      </c>
      <c r="G6" s="19">
        <v>206</v>
      </c>
      <c r="I6" s="25" t="s">
        <v>60</v>
      </c>
      <c r="J6" s="25" t="s">
        <v>42</v>
      </c>
      <c r="K6" s="37">
        <v>2017</v>
      </c>
      <c r="L6" s="26">
        <v>265</v>
      </c>
      <c r="N6" s="18" t="s">
        <v>66</v>
      </c>
      <c r="O6" s="18" t="s">
        <v>72</v>
      </c>
      <c r="P6" s="18">
        <v>321</v>
      </c>
      <c r="R6" s="20">
        <v>298</v>
      </c>
      <c r="S6" s="20">
        <v>7</v>
      </c>
      <c r="T6" s="20"/>
      <c r="U6" s="20"/>
      <c r="W6" s="20">
        <v>467.53646179074235</v>
      </c>
      <c r="X6" s="20"/>
      <c r="Z6" s="20">
        <v>467.53646179074235</v>
      </c>
      <c r="AA6" s="20"/>
      <c r="AB6" s="20"/>
    </row>
    <row r="7" spans="1:28" ht="25.5" customHeight="1" x14ac:dyDescent="0.2">
      <c r="A7" s="58" t="s">
        <v>100</v>
      </c>
      <c r="B7" s="59"/>
      <c r="D7" s="20" t="s">
        <v>37</v>
      </c>
      <c r="E7" s="20" t="s">
        <v>43</v>
      </c>
      <c r="F7" s="21">
        <v>97</v>
      </c>
      <c r="G7" s="21">
        <v>214</v>
      </c>
      <c r="I7" s="27"/>
      <c r="J7" s="27"/>
      <c r="K7" s="38">
        <v>2018</v>
      </c>
      <c r="L7" s="27">
        <v>217</v>
      </c>
      <c r="N7" s="20" t="s">
        <v>68</v>
      </c>
      <c r="O7" s="20" t="s">
        <v>75</v>
      </c>
      <c r="P7" s="20">
        <v>293</v>
      </c>
      <c r="R7" s="18">
        <v>809</v>
      </c>
      <c r="S7" s="18">
        <v>9</v>
      </c>
      <c r="T7" s="18"/>
      <c r="U7" s="18"/>
      <c r="W7" s="18">
        <v>687.07085210056175</v>
      </c>
      <c r="X7" s="18"/>
      <c r="Z7" s="18">
        <v>687.07085210056175</v>
      </c>
      <c r="AA7" s="18"/>
      <c r="AB7" s="18"/>
    </row>
    <row r="8" spans="1:28" ht="25.5" customHeight="1" x14ac:dyDescent="0.2">
      <c r="A8" s="60"/>
      <c r="B8" s="61"/>
      <c r="D8" s="18" t="s">
        <v>49</v>
      </c>
      <c r="E8" s="18" t="s">
        <v>43</v>
      </c>
      <c r="F8" s="19">
        <v>237</v>
      </c>
      <c r="G8" s="19">
        <v>233</v>
      </c>
      <c r="I8" s="22" t="s">
        <v>48</v>
      </c>
      <c r="J8" s="22" t="s">
        <v>43</v>
      </c>
      <c r="K8" s="35">
        <v>2017</v>
      </c>
      <c r="L8" s="23">
        <v>182</v>
      </c>
      <c r="N8" s="18" t="s">
        <v>69</v>
      </c>
      <c r="O8" s="18" t="s">
        <v>72</v>
      </c>
      <c r="P8" s="18">
        <v>577</v>
      </c>
      <c r="R8" s="20">
        <v>989</v>
      </c>
      <c r="S8" s="20">
        <v>0</v>
      </c>
      <c r="T8" s="20"/>
      <c r="U8" s="20"/>
      <c r="W8" s="20">
        <v>417.46583134898208</v>
      </c>
      <c r="X8" s="20"/>
      <c r="Z8" s="20">
        <v>417.46583134898208</v>
      </c>
      <c r="AA8" s="20"/>
      <c r="AB8" s="20"/>
    </row>
    <row r="9" spans="1:28" ht="25.5" customHeight="1" x14ac:dyDescent="0.2">
      <c r="A9" s="60"/>
      <c r="B9" s="61"/>
      <c r="D9" s="20" t="s">
        <v>50</v>
      </c>
      <c r="E9" s="20" t="s">
        <v>42</v>
      </c>
      <c r="F9" s="21">
        <v>121</v>
      </c>
      <c r="G9" s="21">
        <v>68</v>
      </c>
      <c r="I9" s="24"/>
      <c r="J9" s="24"/>
      <c r="K9" s="36">
        <v>2018</v>
      </c>
      <c r="L9" s="24">
        <v>206</v>
      </c>
      <c r="N9" s="20" t="s">
        <v>69</v>
      </c>
      <c r="O9" s="20" t="s">
        <v>70</v>
      </c>
      <c r="P9" s="20">
        <v>223</v>
      </c>
      <c r="R9" s="18">
        <v>943</v>
      </c>
      <c r="S9" s="18">
        <v>4</v>
      </c>
      <c r="T9" s="18"/>
      <c r="U9" s="18"/>
      <c r="W9" s="18">
        <v>153.02353949485237</v>
      </c>
      <c r="X9" s="18"/>
      <c r="Z9" s="18">
        <v>153.02353949485237</v>
      </c>
      <c r="AA9" s="18"/>
      <c r="AB9" s="18"/>
    </row>
    <row r="10" spans="1:28" ht="25.5" customHeight="1" x14ac:dyDescent="0.2">
      <c r="A10" s="60"/>
      <c r="B10" s="61"/>
      <c r="D10" s="18" t="s">
        <v>51</v>
      </c>
      <c r="E10" s="18" t="s">
        <v>42</v>
      </c>
      <c r="F10" s="19">
        <v>105</v>
      </c>
      <c r="G10" s="19">
        <v>151</v>
      </c>
      <c r="I10" s="25" t="s">
        <v>37</v>
      </c>
      <c r="J10" s="25" t="s">
        <v>43</v>
      </c>
      <c r="K10" s="37">
        <v>2017</v>
      </c>
      <c r="L10" s="26">
        <v>97</v>
      </c>
      <c r="N10" s="18" t="s">
        <v>66</v>
      </c>
      <c r="O10" s="18" t="s">
        <v>70</v>
      </c>
      <c r="P10" s="18">
        <v>220</v>
      </c>
      <c r="R10" s="20">
        <v>320</v>
      </c>
      <c r="S10" s="20">
        <v>8</v>
      </c>
      <c r="T10" s="20"/>
      <c r="U10" s="20"/>
      <c r="W10" s="20">
        <v>765.93649812509352</v>
      </c>
      <c r="X10" s="20"/>
      <c r="Z10" s="20">
        <v>765.93649812509352</v>
      </c>
      <c r="AA10" s="20"/>
      <c r="AB10" s="20"/>
    </row>
    <row r="11" spans="1:28" ht="25.5" customHeight="1" x14ac:dyDescent="0.2">
      <c r="A11" s="60"/>
      <c r="B11" s="61"/>
      <c r="D11" s="20" t="s">
        <v>52</v>
      </c>
      <c r="E11" s="20" t="s">
        <v>42</v>
      </c>
      <c r="F11" s="21">
        <v>191</v>
      </c>
      <c r="G11" s="21">
        <v>226</v>
      </c>
      <c r="I11" s="27"/>
      <c r="J11" s="27"/>
      <c r="K11" s="38">
        <v>2018</v>
      </c>
      <c r="L11" s="27">
        <v>214</v>
      </c>
      <c r="N11" s="20" t="s">
        <v>76</v>
      </c>
      <c r="O11" s="20" t="s">
        <v>73</v>
      </c>
      <c r="P11" s="20">
        <v>528</v>
      </c>
      <c r="R11" s="18">
        <v>866</v>
      </c>
      <c r="S11" s="18">
        <v>7</v>
      </c>
      <c r="T11" s="18"/>
      <c r="U11" s="18"/>
      <c r="W11" s="18">
        <v>162.69539560371749</v>
      </c>
      <c r="X11" s="18"/>
      <c r="Z11" s="18">
        <v>162.69539560371749</v>
      </c>
      <c r="AA11" s="18"/>
      <c r="AB11" s="18"/>
    </row>
    <row r="12" spans="1:28" ht="25.5" customHeight="1" x14ac:dyDescent="0.2">
      <c r="A12" s="60"/>
      <c r="B12" s="61"/>
      <c r="D12" s="48" t="s">
        <v>45</v>
      </c>
      <c r="E12" s="48"/>
      <c r="F12" s="18"/>
      <c r="G12" s="18"/>
      <c r="I12" s="22" t="s">
        <v>49</v>
      </c>
      <c r="J12" s="22" t="s">
        <v>43</v>
      </c>
      <c r="K12" s="35">
        <v>2017</v>
      </c>
      <c r="L12" s="23">
        <v>237</v>
      </c>
      <c r="N12" s="48" t="s">
        <v>45</v>
      </c>
      <c r="O12" s="48"/>
      <c r="P12" s="18"/>
      <c r="R12" s="20">
        <v>304</v>
      </c>
      <c r="S12" s="20">
        <v>4</v>
      </c>
      <c r="T12" s="20"/>
      <c r="U12" s="20"/>
      <c r="W12" s="20">
        <v>621.11765086346588</v>
      </c>
      <c r="X12" s="20"/>
      <c r="Z12" s="20">
        <v>621.11765086346588</v>
      </c>
      <c r="AA12" s="20"/>
      <c r="AB12" s="20"/>
    </row>
    <row r="13" spans="1:28" ht="25.5" customHeight="1" x14ac:dyDescent="0.2">
      <c r="A13" s="60"/>
      <c r="B13" s="61"/>
      <c r="D13" s="48" t="s">
        <v>90</v>
      </c>
      <c r="E13" s="48"/>
      <c r="F13" s="18"/>
      <c r="G13" s="18"/>
      <c r="I13" s="24"/>
      <c r="J13" s="24"/>
      <c r="K13" s="36">
        <v>2018</v>
      </c>
      <c r="L13" s="24">
        <v>233</v>
      </c>
      <c r="N13" s="48" t="s">
        <v>92</v>
      </c>
      <c r="O13" s="48"/>
      <c r="P13" s="18"/>
      <c r="R13" s="18">
        <v>890</v>
      </c>
      <c r="S13" s="18">
        <v>2</v>
      </c>
      <c r="T13" s="18"/>
      <c r="U13" s="18"/>
      <c r="W13" s="18">
        <v>477.47096579926631</v>
      </c>
      <c r="X13" s="18"/>
      <c r="Z13" s="18">
        <v>477.47096579926631</v>
      </c>
      <c r="AA13" s="18"/>
      <c r="AB13" s="18"/>
    </row>
    <row r="14" spans="1:28" ht="25.5" customHeight="1" x14ac:dyDescent="0.2">
      <c r="A14" s="60"/>
      <c r="B14" s="61"/>
      <c r="D14" s="48" t="s">
        <v>47</v>
      </c>
      <c r="E14" s="48"/>
      <c r="F14" s="18"/>
      <c r="G14" s="18"/>
      <c r="I14" s="25" t="s">
        <v>50</v>
      </c>
      <c r="J14" s="25" t="s">
        <v>42</v>
      </c>
      <c r="K14" s="37">
        <v>2017</v>
      </c>
      <c r="L14" s="26">
        <v>121</v>
      </c>
    </row>
    <row r="15" spans="1:28" ht="25.5" customHeight="1" x14ac:dyDescent="0.2">
      <c r="A15" s="60"/>
      <c r="B15" s="61"/>
      <c r="D15" s="48" t="s">
        <v>89</v>
      </c>
      <c r="E15" s="48"/>
      <c r="F15" s="18"/>
      <c r="G15" s="18"/>
      <c r="I15" s="27"/>
      <c r="J15" s="27"/>
      <c r="K15" s="38">
        <v>2018</v>
      </c>
      <c r="L15" s="27">
        <v>68</v>
      </c>
    </row>
    <row r="16" spans="1:28" ht="25.5" customHeight="1" x14ac:dyDescent="0.2">
      <c r="A16" s="60"/>
      <c r="B16" s="61"/>
      <c r="I16" s="22" t="s">
        <v>51</v>
      </c>
      <c r="J16" s="22" t="s">
        <v>42</v>
      </c>
      <c r="K16" s="35">
        <v>2017</v>
      </c>
      <c r="L16" s="23">
        <v>105</v>
      </c>
    </row>
    <row r="17" spans="1:12" ht="25.5" customHeight="1" x14ac:dyDescent="0.2">
      <c r="A17" s="60"/>
      <c r="B17" s="61"/>
      <c r="D17" s="64" t="s">
        <v>95</v>
      </c>
      <c r="E17" s="65"/>
      <c r="F17" s="65"/>
      <c r="G17" s="66"/>
      <c r="I17" s="24"/>
      <c r="J17" s="24"/>
      <c r="K17" s="36">
        <v>2018</v>
      </c>
      <c r="L17" s="24">
        <v>151</v>
      </c>
    </row>
    <row r="18" spans="1:12" ht="25.5" customHeight="1" x14ac:dyDescent="0.2">
      <c r="A18" s="62"/>
      <c r="B18" s="63"/>
      <c r="D18" s="67"/>
      <c r="E18" s="68"/>
      <c r="F18" s="68"/>
      <c r="G18" s="69"/>
      <c r="I18" s="25" t="s">
        <v>61</v>
      </c>
      <c r="J18" s="25" t="s">
        <v>42</v>
      </c>
      <c r="K18" s="37">
        <v>2017</v>
      </c>
      <c r="L18" s="26">
        <v>191</v>
      </c>
    </row>
    <row r="19" spans="1:12" ht="25.5" customHeight="1" x14ac:dyDescent="0.2">
      <c r="D19" s="70"/>
      <c r="E19" s="71"/>
      <c r="F19" s="71"/>
      <c r="G19" s="72"/>
      <c r="I19" s="27"/>
      <c r="J19" s="27"/>
      <c r="K19" s="38">
        <v>2018</v>
      </c>
      <c r="L19" s="27">
        <v>226</v>
      </c>
    </row>
    <row r="20" spans="1:12" ht="25.5" customHeight="1" x14ac:dyDescent="0.2">
      <c r="I20" s="49" t="s">
        <v>91</v>
      </c>
      <c r="J20" s="50"/>
      <c r="K20" s="51"/>
      <c r="L20" s="19"/>
    </row>
  </sheetData>
  <mergeCells count="21">
    <mergeCell ref="D13:E13"/>
    <mergeCell ref="N13:O13"/>
    <mergeCell ref="D14:E14"/>
    <mergeCell ref="D15:E15"/>
    <mergeCell ref="I20:K20"/>
    <mergeCell ref="A6:B6"/>
    <mergeCell ref="A7:B18"/>
    <mergeCell ref="D17:G19"/>
    <mergeCell ref="Z1:AB1"/>
    <mergeCell ref="D2:E2"/>
    <mergeCell ref="F2:G2"/>
    <mergeCell ref="I2:J2"/>
    <mergeCell ref="K2:L2"/>
    <mergeCell ref="D12:E12"/>
    <mergeCell ref="N12:O12"/>
    <mergeCell ref="A1:B1"/>
    <mergeCell ref="D1:G1"/>
    <mergeCell ref="I1:L1"/>
    <mergeCell ref="N1:P1"/>
    <mergeCell ref="R1:U1"/>
    <mergeCell ref="W1:X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知识点</vt:lpstr>
      <vt:lpstr>案例1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2019-01-25T11:54:10Z</dcterms:modified>
</cp:coreProperties>
</file>