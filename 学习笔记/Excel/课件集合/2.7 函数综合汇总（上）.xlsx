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7 函数综合汇总（上）\"/>
    </mc:Choice>
  </mc:AlternateContent>
  <bookViews>
    <workbookView xWindow="0" yWindow="0" windowWidth="22260" windowHeight="12645" activeTab="3"/>
  </bookViews>
  <sheets>
    <sheet name="知识点" sheetId="1" r:id="rId1"/>
    <sheet name="案例1-数组公式的加减乘除" sheetId="2" r:id="rId2"/>
    <sheet name="案例2-数组公式的综合应用" sheetId="3" r:id="rId3"/>
    <sheet name="练习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3" l="1" a="1"/>
  <c r="L14" i="3" s="1"/>
  <c r="G18" i="3"/>
  <c r="E4" i="2" a="1"/>
  <c r="E4" i="2" s="1"/>
  <c r="J3" i="2" a="1"/>
  <c r="J3" i="2" s="1"/>
  <c r="E11" i="2" l="1"/>
  <c r="E10" i="2"/>
  <c r="E9" i="2"/>
  <c r="E8" i="2"/>
  <c r="E7" i="2"/>
  <c r="E14" i="2"/>
  <c r="E6" i="2"/>
  <c r="E13" i="2"/>
  <c r="E5" i="2"/>
  <c r="E12" i="2"/>
  <c r="J10" i="2"/>
  <c r="J9" i="2"/>
  <c r="J8" i="2"/>
  <c r="J7" i="2"/>
  <c r="J14" i="2"/>
  <c r="J6" i="2"/>
  <c r="J13" i="2"/>
  <c r="J5" i="2"/>
  <c r="J12" i="2"/>
  <c r="J4" i="2"/>
  <c r="J11" i="2"/>
</calcChain>
</file>

<file path=xl/sharedStrings.xml><?xml version="1.0" encoding="utf-8"?>
<sst xmlns="http://schemas.openxmlformats.org/spreadsheetml/2006/main" count="181" uniqueCount="139">
  <si>
    <t>序号</t>
    <phoneticPr fontId="3" type="noConversion"/>
  </si>
  <si>
    <t>知识点</t>
    <phoneticPr fontId="3" type="noConversion"/>
  </si>
  <si>
    <t>/</t>
    <phoneticPr fontId="3" type="noConversion"/>
  </si>
  <si>
    <t>快捷键</t>
    <phoneticPr fontId="3" type="noConversion"/>
  </si>
  <si>
    <t>注意事项</t>
    <phoneticPr fontId="3" type="noConversion"/>
  </si>
  <si>
    <t>练习提交方式</t>
    <phoneticPr fontId="3" type="noConversion"/>
  </si>
  <si>
    <t>课程知识点（训练营参加方式，前往课程简介）</t>
    <phoneticPr fontId="3" type="noConversion"/>
  </si>
  <si>
    <t>参加训练营，查看群公告，将【练习】完成后发送到助理老师的邮箱，右键命名格式：微信名+课程节数。
例如：指北针+2.7</t>
    <phoneticPr fontId="3" type="noConversion"/>
  </si>
  <si>
    <t>序号</t>
    <phoneticPr fontId="3" type="noConversion"/>
  </si>
  <si>
    <t>单价</t>
    <phoneticPr fontId="3" type="noConversion"/>
  </si>
  <si>
    <t>数组公式的运算法则</t>
    <phoneticPr fontId="3" type="noConversion"/>
  </si>
  <si>
    <t>数据A</t>
    <phoneticPr fontId="3" type="noConversion"/>
  </si>
  <si>
    <t>数据B</t>
    <phoneticPr fontId="3" type="noConversion"/>
  </si>
  <si>
    <t>相加</t>
    <phoneticPr fontId="3" type="noConversion"/>
  </si>
  <si>
    <t>相除</t>
    <phoneticPr fontId="3" type="noConversion"/>
  </si>
  <si>
    <t>相减</t>
    <phoneticPr fontId="3" type="noConversion"/>
  </si>
  <si>
    <t>相乘</t>
    <phoneticPr fontId="3" type="noConversion"/>
  </si>
  <si>
    <t>演示</t>
    <phoneticPr fontId="3" type="noConversion"/>
  </si>
  <si>
    <t>简介</t>
    <phoneticPr fontId="3" type="noConversion"/>
  </si>
  <si>
    <t>F9</t>
    <phoneticPr fontId="3" type="noConversion"/>
  </si>
  <si>
    <t>刷新页面函数/显示计算结果</t>
    <phoneticPr fontId="3" type="noConversion"/>
  </si>
  <si>
    <t>数组基本形式</t>
    <phoneticPr fontId="3" type="noConversion"/>
  </si>
  <si>
    <t>/</t>
    <phoneticPr fontId="3" type="noConversion"/>
  </si>
  <si>
    <t>可以存储多个值的变量</t>
    <phoneticPr fontId="3" type="noConversion"/>
  </si>
  <si>
    <t>1，使用数组一定要使用Ctrl+Shift+Enter
2，使用;表示换行，使用,不换行</t>
    <phoneticPr fontId="3" type="noConversion"/>
  </si>
  <si>
    <t>/</t>
    <phoneticPr fontId="3" type="noConversion"/>
  </si>
  <si>
    <t>/</t>
    <phoneticPr fontId="3" type="noConversion"/>
  </si>
  <si>
    <t>产品</t>
    <phoneticPr fontId="3" type="noConversion"/>
  </si>
  <si>
    <t>销量</t>
    <phoneticPr fontId="3" type="noConversion"/>
  </si>
  <si>
    <t>产品1</t>
    <phoneticPr fontId="3" type="noConversion"/>
  </si>
  <si>
    <t>产品2</t>
    <phoneticPr fontId="3" type="noConversion"/>
  </si>
  <si>
    <t>产品3</t>
  </si>
  <si>
    <t>产品4</t>
  </si>
  <si>
    <t>产品5</t>
  </si>
  <si>
    <t>产品6</t>
  </si>
  <si>
    <t>产品7</t>
  </si>
  <si>
    <t>产品8</t>
  </si>
  <si>
    <t>产品9</t>
  </si>
  <si>
    <t>产品10</t>
  </si>
  <si>
    <t>总销售金额</t>
    <phoneticPr fontId="3" type="noConversion"/>
  </si>
  <si>
    <t>改变销量和单价位置</t>
    <phoneticPr fontId="3" type="noConversion"/>
  </si>
  <si>
    <t>SUM&amp;IF函数数组公式案例</t>
    <phoneticPr fontId="3" type="noConversion"/>
  </si>
  <si>
    <t>SUM/COUNTIF计算不重复次数</t>
    <phoneticPr fontId="3" type="noConversion"/>
  </si>
  <si>
    <t>运营商</t>
    <phoneticPr fontId="3" type="noConversion"/>
  </si>
  <si>
    <t>Ericsson</t>
    <phoneticPr fontId="3" type="noConversion"/>
  </si>
  <si>
    <t>Ericsson</t>
    <phoneticPr fontId="3" type="noConversion"/>
  </si>
  <si>
    <t>Konka</t>
    <phoneticPr fontId="3" type="noConversion"/>
  </si>
  <si>
    <t>Konka</t>
    <phoneticPr fontId="3" type="noConversion"/>
  </si>
  <si>
    <t>Tcl</t>
    <phoneticPr fontId="3" type="noConversion"/>
  </si>
  <si>
    <t>Tcl</t>
    <phoneticPr fontId="3" type="noConversion"/>
  </si>
  <si>
    <t>Nokia</t>
    <phoneticPr fontId="3" type="noConversion"/>
  </si>
  <si>
    <t>1/COUNTIF</t>
    <phoneticPr fontId="3" type="noConversion"/>
  </si>
  <si>
    <t>运营商个数</t>
    <phoneticPr fontId="3" type="noConversion"/>
  </si>
  <si>
    <t>1/COUNTIF</t>
    <phoneticPr fontId="3" type="noConversion"/>
  </si>
  <si>
    <t>姓名</t>
    <phoneticPr fontId="3" type="noConversion"/>
  </si>
  <si>
    <t>班级</t>
    <phoneticPr fontId="3" type="noConversion"/>
  </si>
  <si>
    <t>1班</t>
    <phoneticPr fontId="3" type="noConversion"/>
  </si>
  <si>
    <t>2班</t>
    <phoneticPr fontId="3" type="noConversion"/>
  </si>
  <si>
    <t>3班</t>
    <phoneticPr fontId="3" type="noConversion"/>
  </si>
  <si>
    <t>3班</t>
    <phoneticPr fontId="3" type="noConversion"/>
  </si>
  <si>
    <t>崔傲儿</t>
  </si>
  <si>
    <t>郑育梅</t>
  </si>
  <si>
    <t>任林帆</t>
  </si>
  <si>
    <t>谭志芳</t>
  </si>
  <si>
    <t>郝妍晨</t>
  </si>
  <si>
    <t>侯初月</t>
  </si>
  <si>
    <t>吕展文</t>
  </si>
  <si>
    <t>徐水悦</t>
  </si>
  <si>
    <t>姚芳林</t>
  </si>
  <si>
    <t>班级</t>
    <phoneticPr fontId="3" type="noConversion"/>
  </si>
  <si>
    <t>VLOOKUP反向查询数组公式案例</t>
    <phoneticPr fontId="3" type="noConversion"/>
  </si>
  <si>
    <t>徐水悦</t>
    <phoneticPr fontId="3" type="noConversion"/>
  </si>
  <si>
    <t>任林帆</t>
    <phoneticPr fontId="3" type="noConversion"/>
  </si>
  <si>
    <t>丁一</t>
    <phoneticPr fontId="3" type="noConversion"/>
  </si>
  <si>
    <t>丁一</t>
    <phoneticPr fontId="3" type="noConversion"/>
  </si>
  <si>
    <t>VLOOKUP多条件查询</t>
    <phoneticPr fontId="3" type="noConversion"/>
  </si>
  <si>
    <t>地区</t>
    <phoneticPr fontId="3" type="noConversion"/>
  </si>
  <si>
    <t>业绩</t>
    <phoneticPr fontId="3" type="noConversion"/>
  </si>
  <si>
    <t>钟景辉</t>
  </si>
  <si>
    <t>许俊材</t>
  </si>
  <si>
    <t>康坚成</t>
  </si>
  <si>
    <t>孙昊空</t>
  </si>
  <si>
    <t>蒋雨石</t>
  </si>
  <si>
    <t>万哲彦</t>
  </si>
  <si>
    <t>广东</t>
    <phoneticPr fontId="3" type="noConversion"/>
  </si>
  <si>
    <t>广东</t>
    <phoneticPr fontId="3" type="noConversion"/>
  </si>
  <si>
    <t>福建</t>
    <phoneticPr fontId="3" type="noConversion"/>
  </si>
  <si>
    <t>湖南</t>
    <phoneticPr fontId="3" type="noConversion"/>
  </si>
  <si>
    <t>海南</t>
    <phoneticPr fontId="3" type="noConversion"/>
  </si>
  <si>
    <t>四川</t>
    <phoneticPr fontId="3" type="noConversion"/>
  </si>
  <si>
    <t>广西</t>
    <phoneticPr fontId="3" type="noConversion"/>
  </si>
  <si>
    <t>上海</t>
    <phoneticPr fontId="3" type="noConversion"/>
  </si>
  <si>
    <t>辅助列</t>
    <phoneticPr fontId="3" type="noConversion"/>
  </si>
  <si>
    <t>姓名</t>
    <phoneticPr fontId="3" type="noConversion"/>
  </si>
  <si>
    <t>地区</t>
    <phoneticPr fontId="3" type="noConversion"/>
  </si>
  <si>
    <t>辅助列/业绩</t>
    <phoneticPr fontId="3" type="noConversion"/>
  </si>
  <si>
    <t>数组公式/业绩</t>
    <phoneticPr fontId="3" type="noConversion"/>
  </si>
  <si>
    <t>多单元格数组公式</t>
    <phoneticPr fontId="3" type="noConversion"/>
  </si>
  <si>
    <t>单个单元格数组公式</t>
    <phoneticPr fontId="3" type="noConversion"/>
  </si>
  <si>
    <t>=SUM(A1:A100*B1:B100)</t>
    <phoneticPr fontId="3" type="noConversion"/>
  </si>
  <si>
    <t>单个单元格使用的数组公式</t>
    <phoneticPr fontId="3" type="noConversion"/>
  </si>
  <si>
    <t>1，单个单元格的数组公式，要有一个函数对数组进行操作</t>
    <phoneticPr fontId="3" type="noConversion"/>
  </si>
  <si>
    <t>分公司季度收入统计表</t>
    <phoneticPr fontId="3" type="noConversion"/>
  </si>
  <si>
    <t>单位：芒种科技</t>
    <phoneticPr fontId="3" type="noConversion"/>
  </si>
  <si>
    <t>单位：万</t>
    <phoneticPr fontId="3" type="noConversion"/>
  </si>
  <si>
    <t>公司</t>
    <phoneticPr fontId="3" type="noConversion"/>
  </si>
  <si>
    <t>公司</t>
    <phoneticPr fontId="3" type="noConversion"/>
  </si>
  <si>
    <t>一季度</t>
    <phoneticPr fontId="3" type="noConversion"/>
  </si>
  <si>
    <t>二季度</t>
    <phoneticPr fontId="3" type="noConversion"/>
  </si>
  <si>
    <t>三季度</t>
    <phoneticPr fontId="3" type="noConversion"/>
  </si>
  <si>
    <t>四季度</t>
    <phoneticPr fontId="3" type="noConversion"/>
  </si>
  <si>
    <t>合计</t>
    <phoneticPr fontId="3" type="noConversion"/>
  </si>
  <si>
    <t>A公司</t>
    <phoneticPr fontId="3" type="noConversion"/>
  </si>
  <si>
    <t>B公司</t>
    <phoneticPr fontId="3" type="noConversion"/>
  </si>
  <si>
    <t>C公司</t>
    <phoneticPr fontId="3" type="noConversion"/>
  </si>
  <si>
    <t>D公司</t>
    <phoneticPr fontId="3" type="noConversion"/>
  </si>
  <si>
    <t>地区</t>
    <phoneticPr fontId="3" type="noConversion"/>
  </si>
  <si>
    <t>A公司</t>
    <phoneticPr fontId="3" type="noConversion"/>
  </si>
  <si>
    <t>C公司</t>
    <phoneticPr fontId="3" type="noConversion"/>
  </si>
  <si>
    <t>A公司</t>
    <phoneticPr fontId="3" type="noConversion"/>
  </si>
  <si>
    <t>D公司</t>
    <phoneticPr fontId="3" type="noConversion"/>
  </si>
  <si>
    <t>E公司</t>
    <phoneticPr fontId="3" type="noConversion"/>
  </si>
  <si>
    <t>湖北</t>
    <phoneticPr fontId="3" type="noConversion"/>
  </si>
  <si>
    <t>海南</t>
    <phoneticPr fontId="3" type="noConversion"/>
  </si>
  <si>
    <t>公司数量：</t>
    <phoneticPr fontId="3" type="noConversion"/>
  </si>
  <si>
    <t>合计</t>
    <phoneticPr fontId="3" type="noConversion"/>
  </si>
  <si>
    <t>A公司</t>
    <phoneticPr fontId="3" type="noConversion"/>
  </si>
  <si>
    <t>一季度</t>
    <phoneticPr fontId="3" type="noConversion"/>
  </si>
  <si>
    <t>三季度</t>
    <phoneticPr fontId="3" type="noConversion"/>
  </si>
  <si>
    <t>固件</t>
    <phoneticPr fontId="3" type="noConversion"/>
  </si>
  <si>
    <t>请使用VLOOKUP+COLUMN+数组公式完成筛选</t>
    <phoneticPr fontId="3" type="noConversion"/>
  </si>
  <si>
    <t>地区数量：</t>
    <phoneticPr fontId="3" type="noConversion"/>
  </si>
  <si>
    <t>知识回顾</t>
    <phoneticPr fontId="3" type="noConversion"/>
  </si>
  <si>
    <t>1，VLOOKUP的基础用法</t>
    <phoneticPr fontId="3" type="noConversion"/>
  </si>
  <si>
    <t>={1,2,3}
={1,2,3;4,5;6}</t>
    <phoneticPr fontId="3" type="noConversion"/>
  </si>
  <si>
    <t>=A1:A100*B1*B100</t>
    <phoneticPr fontId="3" type="noConversion"/>
  </si>
  <si>
    <r>
      <rPr>
        <b/>
        <sz val="11"/>
        <color theme="1" tint="0.34998626667073579"/>
        <rFont val="Microsoft YaHei UI"/>
        <family val="2"/>
        <charset val="134"/>
      </rPr>
      <t>选中多个单元格</t>
    </r>
    <r>
      <rPr>
        <sz val="11"/>
        <color theme="1" tint="0.34998626667073579"/>
        <rFont val="Microsoft YaHei UI"/>
        <family val="2"/>
        <charset val="134"/>
      </rPr>
      <t>之后，统一进行计算</t>
    </r>
    <phoneticPr fontId="3" type="noConversion"/>
  </si>
  <si>
    <t>=I4:I13</t>
    <phoneticPr fontId="3" type="noConversion"/>
  </si>
  <si>
    <r>
      <rPr>
        <b/>
        <sz val="11"/>
        <color theme="1"/>
        <rFont val="Microsoft YaHei UI"/>
        <family val="2"/>
        <charset val="134"/>
      </rPr>
      <t>底色为蓝色的单元格均需完成</t>
    </r>
    <r>
      <rPr>
        <sz val="11"/>
        <color theme="1"/>
        <rFont val="Microsoft YaHei UI"/>
        <family val="2"/>
        <charset val="134"/>
      </rPr>
      <t>，助理老师邮箱：mongjoy@163.com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</si>
</sst>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43" formatCode="_ * #,##0.00_ ;_ * \-#,##0.00_ ;_ * &quot;-&quot;??_ ;_ @_ "/>
    <numFmt numFmtId="176" formatCode="[$-F800]dddd\,\ mmmm\ dd\,\ yyyy"/>
  </numFmts>
  <fonts count="2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sz val="11"/>
      <color theme="1"/>
      <name val="Arial"/>
      <family val="2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  <font>
      <b/>
      <sz val="10"/>
      <color rgb="FFFF0000"/>
      <name val="Microsoft YaHei UI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Microsoft YaHei U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43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quotePrefix="1" applyNumberFormat="1" applyFont="1" applyAlignment="1">
      <alignment horizontal="left" vertical="center" wrapText="1"/>
    </xf>
    <xf numFmtId="0" fontId="5" fillId="3" borderId="0" xfId="0" quotePrefix="1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49" fontId="5" fillId="0" borderId="0" xfId="0" quotePrefix="1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15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16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16" fillId="3" borderId="0" xfId="0" applyNumberFormat="1" applyFont="1" applyFill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11" fillId="4" borderId="7" xfId="0" applyFont="1" applyFill="1" applyBorder="1" applyAlignment="1">
      <alignment vertical="center"/>
    </xf>
    <xf numFmtId="0" fontId="11" fillId="4" borderId="7" xfId="0" applyFont="1" applyFill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43" fontId="4" fillId="0" borderId="14" xfId="10" applyFont="1" applyBorder="1" applyAlignment="1">
      <alignment horizontal="center" vertical="center"/>
    </xf>
    <xf numFmtId="43" fontId="4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43" fontId="11" fillId="0" borderId="14" xfId="10" applyFont="1" applyBorder="1" applyAlignment="1">
      <alignment horizontal="center" vertical="center"/>
    </xf>
    <xf numFmtId="43" fontId="11" fillId="0" borderId="14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14" xfId="0" quotePrefix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5" fillId="3" borderId="0" xfId="0" quotePrefix="1" applyFont="1" applyFill="1" applyAlignment="1">
      <alignment horizontal="left" vertical="center" wrapText="1"/>
    </xf>
    <xf numFmtId="0" fontId="0" fillId="0" borderId="1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21" fillId="5" borderId="5" xfId="0" applyFont="1" applyFill="1" applyBorder="1" applyAlignment="1">
      <alignment horizontal="center" vertical="center"/>
    </xf>
    <xf numFmtId="4" fontId="22" fillId="5" borderId="7" xfId="0" applyNumberFormat="1" applyFont="1" applyFill="1" applyBorder="1" applyAlignment="1">
      <alignment horizontal="center" vertical="center"/>
    </xf>
    <xf numFmtId="4" fontId="22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0" fillId="0" borderId="4" xfId="11" applyFont="1" applyBorder="1" applyAlignment="1">
      <alignment horizontal="left"/>
    </xf>
    <xf numFmtId="0" fontId="11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1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2">
    <cellStyle name="标题" xfId="1" builtinId="15"/>
    <cellStyle name="标题 1 2" xfId="8"/>
    <cellStyle name="标题 5" xfId="9"/>
    <cellStyle name="常规" xfId="0" builtinId="0"/>
    <cellStyle name="常规 2" xfId="4"/>
    <cellStyle name="超链接" xfId="11" builtinId="8"/>
    <cellStyle name="货币 2" xfId="7"/>
    <cellStyle name="货币[0] 2" xfId="5"/>
    <cellStyle name="记账代码" xfId="2"/>
    <cellStyle name="解释性文本 2" xfId="6"/>
    <cellStyle name="千位分隔" xfId="10" builtinId="3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.163.com/course/courseLearn.htm?courseId=1208938801&amp;share=2&amp;shareId=4000000006900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4"/>
  <sheetViews>
    <sheetView showGridLines="0" zoomScaleNormal="100" workbookViewId="0">
      <selection activeCell="G11" sqref="G11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16.75" style="2" customWidth="1"/>
    <col min="5" max="5" width="38.125" style="2" customWidth="1"/>
    <col min="6" max="6" width="37.125" style="2" customWidth="1"/>
    <col min="7" max="7" width="49" style="2" customWidth="1"/>
    <col min="8" max="16384" width="9" style="2"/>
  </cols>
  <sheetData>
    <row r="1" spans="2:12" ht="55.5" customHeight="1" x14ac:dyDescent="0.3">
      <c r="B1" s="1" t="s">
        <v>6</v>
      </c>
    </row>
    <row r="2" spans="2:12" s="3" customFormat="1" ht="23.25" customHeight="1" x14ac:dyDescent="0.3">
      <c r="B2" s="56" t="s">
        <v>132</v>
      </c>
      <c r="C2" s="56"/>
      <c r="D2" s="56"/>
      <c r="F2" s="10" t="s">
        <v>5</v>
      </c>
      <c r="G2" s="10"/>
      <c r="H2" s="11"/>
    </row>
    <row r="3" spans="2:12" s="3" customFormat="1" ht="19.5" customHeight="1" x14ac:dyDescent="0.3">
      <c r="B3" s="60" t="s">
        <v>133</v>
      </c>
      <c r="C3" s="60"/>
      <c r="D3" s="60"/>
      <c r="F3" s="58" t="s">
        <v>7</v>
      </c>
      <c r="G3" s="58"/>
    </row>
    <row r="4" spans="2:12" s="3" customFormat="1" ht="19.5" customHeight="1" x14ac:dyDescent="0.3">
      <c r="B4" s="57"/>
      <c r="C4" s="57"/>
      <c r="D4" s="4"/>
      <c r="F4" s="59"/>
      <c r="G4" s="59"/>
    </row>
    <row r="5" spans="2:12" s="3" customFormat="1" ht="19.5" customHeight="1" x14ac:dyDescent="0.3">
      <c r="B5" s="57"/>
      <c r="C5" s="57"/>
      <c r="D5" s="4"/>
      <c r="F5" s="59"/>
      <c r="G5" s="59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3</v>
      </c>
      <c r="E7" s="5" t="s">
        <v>17</v>
      </c>
      <c r="F7" s="5" t="s">
        <v>18</v>
      </c>
      <c r="G7" s="5" t="s">
        <v>4</v>
      </c>
    </row>
    <row r="8" spans="2:12" s="6" customFormat="1" ht="30" customHeight="1" x14ac:dyDescent="0.2">
      <c r="B8" s="6">
        <v>1</v>
      </c>
      <c r="C8" s="6" t="s">
        <v>19</v>
      </c>
      <c r="D8" s="6" t="s">
        <v>2</v>
      </c>
      <c r="E8" s="17" t="s">
        <v>26</v>
      </c>
      <c r="F8" s="6" t="s">
        <v>20</v>
      </c>
      <c r="G8" s="16" t="s">
        <v>25</v>
      </c>
    </row>
    <row r="9" spans="2:12" s="6" customFormat="1" ht="52.5" customHeight="1" x14ac:dyDescent="0.2">
      <c r="B9" s="8">
        <v>2</v>
      </c>
      <c r="C9" s="8" t="s">
        <v>21</v>
      </c>
      <c r="D9" s="8" t="s">
        <v>22</v>
      </c>
      <c r="E9" s="48" t="s">
        <v>134</v>
      </c>
      <c r="F9" s="8" t="s">
        <v>23</v>
      </c>
      <c r="G9" s="18" t="s">
        <v>24</v>
      </c>
    </row>
    <row r="10" spans="2:12" s="6" customFormat="1" ht="30" customHeight="1" x14ac:dyDescent="0.2">
      <c r="B10" s="6">
        <v>3</v>
      </c>
      <c r="C10" s="6" t="s">
        <v>97</v>
      </c>
      <c r="D10" s="6" t="s">
        <v>2</v>
      </c>
      <c r="E10" s="14" t="s">
        <v>135</v>
      </c>
      <c r="F10" s="6" t="s">
        <v>136</v>
      </c>
      <c r="G10" s="16" t="s">
        <v>2</v>
      </c>
      <c r="L10" s="7"/>
    </row>
    <row r="11" spans="2:12" s="6" customFormat="1" ht="30" customHeight="1" x14ac:dyDescent="0.2">
      <c r="B11" s="8">
        <v>4</v>
      </c>
      <c r="C11" s="8" t="s">
        <v>98</v>
      </c>
      <c r="D11" s="8" t="s">
        <v>2</v>
      </c>
      <c r="E11" s="15" t="s">
        <v>99</v>
      </c>
      <c r="F11" s="8" t="s">
        <v>100</v>
      </c>
      <c r="G11" s="18" t="s">
        <v>101</v>
      </c>
      <c r="L11" s="7"/>
    </row>
    <row r="12" spans="2:12" s="3" customFormat="1" x14ac:dyDescent="0.3"/>
    <row r="13" spans="2:12" s="3" customFormat="1" x14ac:dyDescent="0.3"/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</sheetData>
  <mergeCells count="5">
    <mergeCell ref="B2:D2"/>
    <mergeCell ref="B4:C4"/>
    <mergeCell ref="B5:C5"/>
    <mergeCell ref="F3:G5"/>
    <mergeCell ref="B3:D3"/>
  </mergeCells>
  <phoneticPr fontId="3" type="noConversion"/>
  <hyperlinks>
    <hyperlink ref="B3:D3" r:id="rId1" location="/learn/video?lessonId=1278544404&amp;courseId=1208938801" display="1，VLOOKUP的基础用法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showGridLines="0" workbookViewId="0">
      <selection activeCell="D4" sqref="D4:D14"/>
    </sheetView>
  </sheetViews>
  <sheetFormatPr defaultRowHeight="24.75" customHeight="1" x14ac:dyDescent="0.2"/>
  <cols>
    <col min="1" max="1" width="1.875" style="13" customWidth="1"/>
    <col min="2" max="3" width="9" style="13"/>
    <col min="4" max="4" width="10.5" style="13" bestFit="1" customWidth="1"/>
    <col min="5" max="7" width="9" style="13"/>
    <col min="8" max="8" width="1.5" style="13" customWidth="1"/>
    <col min="9" max="16384" width="9" style="13"/>
  </cols>
  <sheetData>
    <row r="1" spans="2:10" ht="9.75" customHeight="1" x14ac:dyDescent="0.2"/>
    <row r="2" spans="2:10" ht="24.75" customHeight="1" x14ac:dyDescent="0.2">
      <c r="B2" s="61" t="s">
        <v>10</v>
      </c>
      <c r="C2" s="61"/>
      <c r="D2" s="61"/>
      <c r="E2" s="61"/>
      <c r="F2" s="61"/>
      <c r="G2" s="61"/>
    </row>
    <row r="3" spans="2:10" ht="24.75" customHeight="1" x14ac:dyDescent="0.2">
      <c r="B3" s="34" t="s">
        <v>11</v>
      </c>
      <c r="C3" s="34" t="s">
        <v>12</v>
      </c>
      <c r="D3" s="35" t="s">
        <v>13</v>
      </c>
      <c r="E3" s="34" t="s">
        <v>15</v>
      </c>
      <c r="F3" s="36" t="s">
        <v>16</v>
      </c>
      <c r="G3" s="34" t="s">
        <v>14</v>
      </c>
      <c r="J3" s="13">
        <f t="array" ref="J3:J14">{515;779;1734;581;1213;1020;261;1100;1360;1127;597}</f>
        <v>515</v>
      </c>
    </row>
    <row r="4" spans="2:10" ht="24.75" customHeight="1" x14ac:dyDescent="0.2">
      <c r="B4" s="31">
        <v>222</v>
      </c>
      <c r="C4" s="31">
        <v>293</v>
      </c>
      <c r="D4" s="32"/>
      <c r="E4" s="31">
        <f t="array" ref="E4:E14">B4:B14-C4:C14</f>
        <v>-71</v>
      </c>
      <c r="F4" s="33"/>
      <c r="G4" s="31"/>
      <c r="J4" s="13">
        <v>779</v>
      </c>
    </row>
    <row r="5" spans="2:10" ht="24.75" customHeight="1" x14ac:dyDescent="0.2">
      <c r="B5" s="31">
        <v>767</v>
      </c>
      <c r="C5" s="31">
        <v>12</v>
      </c>
      <c r="D5" s="32"/>
      <c r="E5" s="31">
        <v>755</v>
      </c>
      <c r="F5" s="33"/>
      <c r="G5" s="31"/>
      <c r="J5" s="13">
        <v>1734</v>
      </c>
    </row>
    <row r="6" spans="2:10" ht="24.75" customHeight="1" x14ac:dyDescent="0.2">
      <c r="B6" s="31">
        <v>812</v>
      </c>
      <c r="C6" s="31">
        <v>922</v>
      </c>
      <c r="D6" s="32"/>
      <c r="E6" s="31">
        <v>-110</v>
      </c>
      <c r="F6" s="33"/>
      <c r="G6" s="31"/>
      <c r="J6" s="13">
        <v>581</v>
      </c>
    </row>
    <row r="7" spans="2:10" ht="24.75" customHeight="1" x14ac:dyDescent="0.2">
      <c r="B7" s="31">
        <v>569</v>
      </c>
      <c r="C7" s="31">
        <v>12</v>
      </c>
      <c r="D7" s="32"/>
      <c r="E7" s="31">
        <v>557</v>
      </c>
      <c r="F7" s="33"/>
      <c r="G7" s="31"/>
      <c r="J7" s="13">
        <v>1213</v>
      </c>
    </row>
    <row r="8" spans="2:10" ht="24.75" customHeight="1" x14ac:dyDescent="0.2">
      <c r="B8" s="31">
        <v>344</v>
      </c>
      <c r="C8" s="31">
        <v>869</v>
      </c>
      <c r="D8" s="32"/>
      <c r="E8" s="31">
        <v>-525</v>
      </c>
      <c r="F8" s="33"/>
      <c r="G8" s="31"/>
      <c r="J8" s="13">
        <v>1020</v>
      </c>
    </row>
    <row r="9" spans="2:10" ht="24.75" customHeight="1" x14ac:dyDescent="0.2">
      <c r="B9" s="31">
        <v>186</v>
      </c>
      <c r="C9" s="31">
        <v>834</v>
      </c>
      <c r="D9" s="32"/>
      <c r="E9" s="31">
        <v>-648</v>
      </c>
      <c r="F9" s="33"/>
      <c r="G9" s="31"/>
      <c r="J9" s="13">
        <v>261</v>
      </c>
    </row>
    <row r="10" spans="2:10" ht="24.75" customHeight="1" x14ac:dyDescent="0.2">
      <c r="B10" s="31">
        <v>85</v>
      </c>
      <c r="C10" s="31">
        <v>176</v>
      </c>
      <c r="D10" s="32"/>
      <c r="E10" s="31">
        <v>-91</v>
      </c>
      <c r="F10" s="33"/>
      <c r="G10" s="31"/>
      <c r="J10" s="13">
        <v>1100</v>
      </c>
    </row>
    <row r="11" spans="2:10" ht="24.75" customHeight="1" x14ac:dyDescent="0.2">
      <c r="B11" s="31">
        <v>617</v>
      </c>
      <c r="C11" s="31">
        <v>483</v>
      </c>
      <c r="D11" s="32"/>
      <c r="E11" s="31">
        <v>134</v>
      </c>
      <c r="F11" s="33"/>
      <c r="G11" s="31"/>
      <c r="J11" s="13">
        <v>1360</v>
      </c>
    </row>
    <row r="12" spans="2:10" ht="24.75" customHeight="1" x14ac:dyDescent="0.2">
      <c r="B12" s="31">
        <v>856</v>
      </c>
      <c r="C12" s="31">
        <v>504</v>
      </c>
      <c r="D12" s="32"/>
      <c r="E12" s="31">
        <v>352</v>
      </c>
      <c r="F12" s="33"/>
      <c r="G12" s="31"/>
      <c r="J12" s="13">
        <v>1127</v>
      </c>
    </row>
    <row r="13" spans="2:10" ht="24.75" customHeight="1" x14ac:dyDescent="0.2">
      <c r="B13" s="31">
        <v>340</v>
      </c>
      <c r="C13" s="31">
        <v>787</v>
      </c>
      <c r="D13" s="31"/>
      <c r="E13" s="31">
        <v>-447</v>
      </c>
      <c r="F13" s="31"/>
      <c r="G13" s="31"/>
      <c r="J13" s="13">
        <v>597</v>
      </c>
    </row>
    <row r="14" spans="2:10" ht="24.75" customHeight="1" x14ac:dyDescent="0.2">
      <c r="B14" s="31">
        <v>294</v>
      </c>
      <c r="C14" s="31">
        <v>303</v>
      </c>
      <c r="D14" s="31"/>
      <c r="E14" s="31">
        <v>-9</v>
      </c>
      <c r="F14" s="31"/>
      <c r="G14" s="31"/>
      <c r="J14" s="13" t="e">
        <v>#N/A</v>
      </c>
    </row>
  </sheetData>
  <mergeCells count="1">
    <mergeCell ref="B2:G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showGridLines="0" workbookViewId="0">
      <selection activeCell="G4" sqref="E4:G13"/>
    </sheetView>
  </sheetViews>
  <sheetFormatPr defaultColWidth="11.125" defaultRowHeight="22.5" customHeight="1" x14ac:dyDescent="0.2"/>
  <cols>
    <col min="1" max="1" width="1.125" style="12" customWidth="1"/>
    <col min="2" max="7" width="11.125" style="12"/>
    <col min="8" max="8" width="1.375" style="12" customWidth="1"/>
    <col min="9" max="9" width="13.125" style="12" customWidth="1"/>
    <col min="10" max="10" width="12.625" style="12" customWidth="1"/>
    <col min="11" max="12" width="11.125" style="12"/>
    <col min="13" max="13" width="1.125" style="12" customWidth="1"/>
    <col min="14" max="15" width="11.125" style="12"/>
    <col min="16" max="16" width="0.625" style="12" customWidth="1"/>
    <col min="17" max="18" width="11.125" style="12"/>
    <col min="19" max="19" width="1" style="12" customWidth="1"/>
    <col min="20" max="23" width="11.125" style="12"/>
    <col min="24" max="24" width="0.75" style="12" customWidth="1"/>
    <col min="25" max="26" width="11.125" style="12"/>
    <col min="27" max="27" width="13.125" style="12" customWidth="1"/>
    <col min="28" max="28" width="13.625" style="12" customWidth="1"/>
    <col min="29" max="16384" width="11.125" style="12"/>
  </cols>
  <sheetData>
    <row r="1" spans="2:28" ht="5.25" customHeight="1" x14ac:dyDescent="0.2">
      <c r="N1" s="19"/>
      <c r="O1" s="19"/>
      <c r="P1" s="19"/>
      <c r="Q1" s="19"/>
      <c r="R1" s="19"/>
    </row>
    <row r="2" spans="2:28" ht="28.5" customHeight="1" x14ac:dyDescent="0.2">
      <c r="B2" s="67" t="s">
        <v>41</v>
      </c>
      <c r="C2" s="67"/>
      <c r="D2" s="67"/>
      <c r="E2" s="67"/>
      <c r="F2" s="67"/>
      <c r="G2" s="67"/>
      <c r="I2" s="65" t="s">
        <v>42</v>
      </c>
      <c r="J2" s="65"/>
      <c r="K2" s="65"/>
      <c r="L2" s="65"/>
      <c r="N2" s="65" t="s">
        <v>70</v>
      </c>
      <c r="O2" s="65"/>
      <c r="P2" s="66"/>
      <c r="Q2" s="65"/>
      <c r="R2" s="65"/>
      <c r="T2" s="65" t="s">
        <v>75</v>
      </c>
      <c r="U2" s="65"/>
      <c r="V2" s="65"/>
      <c r="W2" s="65"/>
      <c r="X2" s="66"/>
      <c r="Y2" s="65"/>
      <c r="Z2" s="65"/>
      <c r="AA2" s="65"/>
      <c r="AB2" s="65"/>
    </row>
    <row r="3" spans="2:28" ht="22.5" customHeight="1" x14ac:dyDescent="0.2">
      <c r="B3" s="37" t="s">
        <v>8</v>
      </c>
      <c r="C3" s="37" t="s">
        <v>27</v>
      </c>
      <c r="D3" s="37" t="s">
        <v>9</v>
      </c>
      <c r="E3" s="37" t="s">
        <v>28</v>
      </c>
      <c r="F3" s="65" t="s">
        <v>40</v>
      </c>
      <c r="G3" s="65"/>
      <c r="I3" s="37" t="s">
        <v>43</v>
      </c>
      <c r="J3" s="39" t="s">
        <v>137</v>
      </c>
      <c r="K3" s="37" t="s">
        <v>53</v>
      </c>
      <c r="L3" s="37" t="s">
        <v>51</v>
      </c>
      <c r="N3" s="37" t="s">
        <v>55</v>
      </c>
      <c r="O3" s="40" t="s">
        <v>54</v>
      </c>
      <c r="P3" s="44"/>
      <c r="Q3" s="42" t="s">
        <v>54</v>
      </c>
      <c r="R3" s="37" t="s">
        <v>69</v>
      </c>
      <c r="T3" s="37" t="s">
        <v>92</v>
      </c>
      <c r="U3" s="37" t="s">
        <v>54</v>
      </c>
      <c r="V3" s="37" t="s">
        <v>76</v>
      </c>
      <c r="W3" s="40" t="s">
        <v>77</v>
      </c>
      <c r="X3" s="46"/>
      <c r="Y3" s="42" t="s">
        <v>93</v>
      </c>
      <c r="Z3" s="37" t="s">
        <v>94</v>
      </c>
      <c r="AA3" s="37" t="s">
        <v>95</v>
      </c>
      <c r="AB3" s="37" t="s">
        <v>96</v>
      </c>
    </row>
    <row r="4" spans="2:28" ht="22.5" customHeight="1" x14ac:dyDescent="0.2">
      <c r="B4" s="38">
        <v>1</v>
      </c>
      <c r="C4" s="38" t="s">
        <v>29</v>
      </c>
      <c r="D4" s="38">
        <v>183</v>
      </c>
      <c r="E4" s="38"/>
      <c r="F4" s="38"/>
      <c r="G4" s="38"/>
      <c r="I4" s="38" t="s">
        <v>44</v>
      </c>
      <c r="J4" s="38"/>
      <c r="K4" s="38"/>
      <c r="L4" s="38"/>
      <c r="N4" s="38" t="s">
        <v>56</v>
      </c>
      <c r="O4" s="41" t="s">
        <v>60</v>
      </c>
      <c r="P4" s="45"/>
      <c r="Q4" s="43" t="s">
        <v>71</v>
      </c>
      <c r="R4" s="38"/>
      <c r="T4" s="38"/>
      <c r="U4" s="38" t="s">
        <v>78</v>
      </c>
      <c r="V4" s="38" t="s">
        <v>84</v>
      </c>
      <c r="W4" s="41">
        <v>9236</v>
      </c>
      <c r="X4" s="47"/>
      <c r="Y4" s="43" t="s">
        <v>78</v>
      </c>
      <c r="Z4" s="38" t="s">
        <v>84</v>
      </c>
      <c r="AA4" s="38"/>
      <c r="AB4" s="38"/>
    </row>
    <row r="5" spans="2:28" ht="22.5" customHeight="1" x14ac:dyDescent="0.2">
      <c r="B5" s="38">
        <v>2</v>
      </c>
      <c r="C5" s="38" t="s">
        <v>30</v>
      </c>
      <c r="D5" s="38">
        <v>1075</v>
      </c>
      <c r="E5" s="38"/>
      <c r="F5" s="38"/>
      <c r="G5" s="38"/>
      <c r="I5" s="38" t="s">
        <v>44</v>
      </c>
      <c r="J5" s="38"/>
      <c r="K5" s="38"/>
      <c r="L5" s="38"/>
      <c r="N5" s="38" t="s">
        <v>57</v>
      </c>
      <c r="O5" s="41" t="s">
        <v>61</v>
      </c>
      <c r="P5" s="45"/>
      <c r="Q5" s="43" t="s">
        <v>72</v>
      </c>
      <c r="R5" s="38"/>
      <c r="T5" s="38"/>
      <c r="U5" s="38" t="s">
        <v>79</v>
      </c>
      <c r="V5" s="38" t="s">
        <v>84</v>
      </c>
      <c r="W5" s="41">
        <v>3714</v>
      </c>
      <c r="X5" s="47"/>
      <c r="Y5" s="43" t="s">
        <v>80</v>
      </c>
      <c r="Z5" s="38" t="s">
        <v>87</v>
      </c>
      <c r="AA5" s="38"/>
      <c r="AB5" s="38"/>
    </row>
    <row r="6" spans="2:28" ht="22.5" customHeight="1" x14ac:dyDescent="0.2">
      <c r="B6" s="38">
        <v>3</v>
      </c>
      <c r="C6" s="38" t="s">
        <v>31</v>
      </c>
      <c r="D6" s="38">
        <v>322</v>
      </c>
      <c r="E6" s="38"/>
      <c r="F6" s="38"/>
      <c r="G6" s="38"/>
      <c r="I6" s="38" t="s">
        <v>45</v>
      </c>
      <c r="J6" s="38"/>
      <c r="K6" s="38"/>
      <c r="L6" s="38"/>
      <c r="N6" s="38" t="s">
        <v>56</v>
      </c>
      <c r="O6" s="41" t="s">
        <v>62</v>
      </c>
      <c r="P6" s="45"/>
      <c r="Q6" s="43" t="s">
        <v>74</v>
      </c>
      <c r="R6" s="38"/>
      <c r="T6" s="38"/>
      <c r="U6" s="38" t="s">
        <v>80</v>
      </c>
      <c r="V6" s="38" t="s">
        <v>85</v>
      </c>
      <c r="W6" s="41">
        <v>8404</v>
      </c>
      <c r="X6" s="47"/>
      <c r="Y6" s="43" t="s">
        <v>80</v>
      </c>
      <c r="Z6" s="38" t="s">
        <v>85</v>
      </c>
      <c r="AA6" s="38"/>
      <c r="AB6" s="38"/>
    </row>
    <row r="7" spans="2:28" ht="22.5" customHeight="1" x14ac:dyDescent="0.2">
      <c r="B7" s="38">
        <v>4</v>
      </c>
      <c r="C7" s="38" t="s">
        <v>32</v>
      </c>
      <c r="D7" s="38">
        <v>566</v>
      </c>
      <c r="E7" s="38"/>
      <c r="F7" s="38"/>
      <c r="G7" s="38"/>
      <c r="I7" s="38" t="s">
        <v>46</v>
      </c>
      <c r="J7" s="38"/>
      <c r="K7" s="38"/>
      <c r="L7" s="38"/>
      <c r="N7" s="38" t="s">
        <v>57</v>
      </c>
      <c r="O7" s="41" t="s">
        <v>63</v>
      </c>
      <c r="P7" s="45"/>
      <c r="Q7" s="43"/>
      <c r="R7" s="38"/>
      <c r="T7" s="38"/>
      <c r="U7" s="38" t="s">
        <v>79</v>
      </c>
      <c r="V7" s="38" t="s">
        <v>91</v>
      </c>
      <c r="W7" s="41">
        <v>5561</v>
      </c>
      <c r="X7" s="47"/>
      <c r="Y7" s="43" t="s">
        <v>80</v>
      </c>
      <c r="Z7" s="38" t="s">
        <v>86</v>
      </c>
      <c r="AA7" s="38"/>
      <c r="AB7" s="38"/>
    </row>
    <row r="8" spans="2:28" ht="22.5" customHeight="1" x14ac:dyDescent="0.2">
      <c r="B8" s="38">
        <v>5</v>
      </c>
      <c r="C8" s="38" t="s">
        <v>33</v>
      </c>
      <c r="D8" s="38">
        <v>108</v>
      </c>
      <c r="E8" s="38"/>
      <c r="F8" s="38"/>
      <c r="G8" s="38"/>
      <c r="I8" s="38" t="s">
        <v>47</v>
      </c>
      <c r="J8" s="38"/>
      <c r="K8" s="38"/>
      <c r="L8" s="38"/>
      <c r="N8" s="38" t="s">
        <v>57</v>
      </c>
      <c r="O8" s="41" t="s">
        <v>64</v>
      </c>
      <c r="P8" s="45"/>
      <c r="Q8" s="43"/>
      <c r="R8" s="38"/>
      <c r="T8" s="38"/>
      <c r="U8" s="38" t="s">
        <v>80</v>
      </c>
      <c r="V8" s="38" t="s">
        <v>86</v>
      </c>
      <c r="W8" s="41">
        <v>7583</v>
      </c>
      <c r="X8" s="47"/>
      <c r="Y8" s="43" t="s">
        <v>83</v>
      </c>
      <c r="Z8" s="38" t="s">
        <v>84</v>
      </c>
      <c r="AA8" s="38"/>
      <c r="AB8" s="38"/>
    </row>
    <row r="9" spans="2:28" ht="22.5" customHeight="1" x14ac:dyDescent="0.2">
      <c r="B9" s="38">
        <v>6</v>
      </c>
      <c r="C9" s="38" t="s">
        <v>34</v>
      </c>
      <c r="D9" s="38">
        <v>882</v>
      </c>
      <c r="E9" s="38"/>
      <c r="F9" s="38"/>
      <c r="G9" s="38"/>
      <c r="I9" s="38" t="s">
        <v>48</v>
      </c>
      <c r="J9" s="38"/>
      <c r="K9" s="38"/>
      <c r="L9" s="38"/>
      <c r="N9" s="38" t="s">
        <v>56</v>
      </c>
      <c r="O9" s="41" t="s">
        <v>65</v>
      </c>
      <c r="P9" s="45"/>
      <c r="Q9" s="43"/>
      <c r="R9" s="38"/>
      <c r="T9" s="38"/>
      <c r="U9" s="38" t="s">
        <v>81</v>
      </c>
      <c r="V9" s="38" t="s">
        <v>89</v>
      </c>
      <c r="W9" s="41">
        <v>1968</v>
      </c>
      <c r="X9" s="47"/>
      <c r="Y9" s="43"/>
      <c r="Z9" s="38"/>
      <c r="AA9" s="38"/>
      <c r="AB9" s="38"/>
    </row>
    <row r="10" spans="2:28" ht="22.5" customHeight="1" x14ac:dyDescent="0.2">
      <c r="B10" s="38">
        <v>7</v>
      </c>
      <c r="C10" s="38" t="s">
        <v>35</v>
      </c>
      <c r="D10" s="38">
        <v>1080</v>
      </c>
      <c r="E10" s="38"/>
      <c r="F10" s="38"/>
      <c r="G10" s="38"/>
      <c r="I10" s="38" t="s">
        <v>49</v>
      </c>
      <c r="J10" s="38"/>
      <c r="K10" s="38"/>
      <c r="L10" s="38"/>
      <c r="N10" s="38" t="s">
        <v>59</v>
      </c>
      <c r="O10" s="41" t="s">
        <v>66</v>
      </c>
      <c r="P10" s="45"/>
      <c r="Q10" s="43"/>
      <c r="R10" s="38"/>
      <c r="T10" s="38"/>
      <c r="U10" s="38" t="s">
        <v>82</v>
      </c>
      <c r="V10" s="38" t="s">
        <v>90</v>
      </c>
      <c r="W10" s="41">
        <v>6570</v>
      </c>
      <c r="X10" s="47"/>
      <c r="Y10" s="43"/>
      <c r="Z10" s="38"/>
      <c r="AA10" s="38"/>
      <c r="AB10" s="38"/>
    </row>
    <row r="11" spans="2:28" ht="22.5" customHeight="1" x14ac:dyDescent="0.2">
      <c r="B11" s="38">
        <v>8</v>
      </c>
      <c r="C11" s="38" t="s">
        <v>36</v>
      </c>
      <c r="D11" s="38">
        <v>1097</v>
      </c>
      <c r="E11" s="38"/>
      <c r="F11" s="38"/>
      <c r="G11" s="38"/>
      <c r="I11" s="38" t="s">
        <v>50</v>
      </c>
      <c r="J11" s="38"/>
      <c r="K11" s="38"/>
      <c r="L11" s="38"/>
      <c r="N11" s="38" t="s">
        <v>56</v>
      </c>
      <c r="O11" s="41" t="s">
        <v>73</v>
      </c>
      <c r="P11" s="45"/>
      <c r="Q11" s="43"/>
      <c r="R11" s="38"/>
      <c r="T11" s="38"/>
      <c r="U11" s="38" t="s">
        <v>83</v>
      </c>
      <c r="V11" s="38" t="s">
        <v>84</v>
      </c>
      <c r="W11" s="41">
        <v>9818</v>
      </c>
      <c r="X11" s="47"/>
      <c r="Y11" s="43"/>
      <c r="Z11" s="38"/>
      <c r="AA11" s="38"/>
      <c r="AB11" s="38"/>
    </row>
    <row r="12" spans="2:28" ht="22.5" customHeight="1" x14ac:dyDescent="0.2">
      <c r="B12" s="38">
        <v>9</v>
      </c>
      <c r="C12" s="38" t="s">
        <v>37</v>
      </c>
      <c r="D12" s="38">
        <v>407</v>
      </c>
      <c r="E12" s="38"/>
      <c r="F12" s="38"/>
      <c r="G12" s="38"/>
      <c r="I12" s="38" t="s">
        <v>49</v>
      </c>
      <c r="J12" s="38"/>
      <c r="K12" s="38"/>
      <c r="L12" s="38"/>
      <c r="N12" s="38" t="s">
        <v>58</v>
      </c>
      <c r="O12" s="41" t="s">
        <v>67</v>
      </c>
      <c r="P12" s="45"/>
      <c r="Q12" s="43"/>
      <c r="R12" s="38"/>
      <c r="T12" s="38"/>
      <c r="U12" s="38" t="s">
        <v>80</v>
      </c>
      <c r="V12" s="38" t="s">
        <v>87</v>
      </c>
      <c r="W12" s="41">
        <v>6168</v>
      </c>
      <c r="X12" s="47"/>
      <c r="Y12" s="43"/>
      <c r="Z12" s="38"/>
      <c r="AA12" s="38"/>
      <c r="AB12" s="38"/>
    </row>
    <row r="13" spans="2:28" ht="22.5" customHeight="1" x14ac:dyDescent="0.2">
      <c r="B13" s="38">
        <v>10</v>
      </c>
      <c r="C13" s="38" t="s">
        <v>38</v>
      </c>
      <c r="D13" s="38">
        <v>136</v>
      </c>
      <c r="E13" s="38"/>
      <c r="F13" s="38"/>
      <c r="G13" s="38"/>
      <c r="I13" s="38" t="s">
        <v>49</v>
      </c>
      <c r="J13" s="38"/>
      <c r="K13" s="38"/>
      <c r="L13" s="38"/>
      <c r="N13" s="38" t="s">
        <v>57</v>
      </c>
      <c r="O13" s="41" t="s">
        <v>68</v>
      </c>
      <c r="P13" s="45"/>
      <c r="Q13" s="43"/>
      <c r="R13" s="38"/>
      <c r="T13" s="38"/>
      <c r="U13" s="38" t="s">
        <v>81</v>
      </c>
      <c r="V13" s="38" t="s">
        <v>88</v>
      </c>
      <c r="W13" s="41">
        <v>5176</v>
      </c>
      <c r="X13" s="47"/>
      <c r="Y13" s="43"/>
      <c r="Z13" s="38"/>
      <c r="AA13" s="38"/>
      <c r="AB13" s="38"/>
    </row>
    <row r="14" spans="2:28" ht="22.5" customHeight="1" x14ac:dyDescent="0.2">
      <c r="B14" s="62" t="s">
        <v>39</v>
      </c>
      <c r="C14" s="63"/>
      <c r="D14" s="64"/>
      <c r="E14" s="49"/>
      <c r="F14" s="50"/>
      <c r="G14" s="51"/>
      <c r="I14" s="62" t="s">
        <v>52</v>
      </c>
      <c r="J14" s="63"/>
      <c r="K14" s="64"/>
      <c r="L14" s="38">
        <f t="array" ref="L14">SUM(1/COUNTIF(I4:I13,I4:I13))</f>
        <v>4</v>
      </c>
    </row>
    <row r="18" spans="7:7" ht="22.5" customHeight="1" x14ac:dyDescent="0.2">
      <c r="G18" s="12">
        <f>{7,183;7,1075;3,322;4,566;9,108;2,882;1,1080;3,1097;10,407;2,136}</f>
        <v>7</v>
      </c>
    </row>
  </sheetData>
  <mergeCells count="7">
    <mergeCell ref="I14:K14"/>
    <mergeCell ref="B14:D14"/>
    <mergeCell ref="T2:AB2"/>
    <mergeCell ref="F3:G3"/>
    <mergeCell ref="B2:G2"/>
    <mergeCell ref="I2:L2"/>
    <mergeCell ref="N2:R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tabSelected="1" workbookViewId="0">
      <selection activeCell="J10" sqref="J10"/>
    </sheetView>
  </sheetViews>
  <sheetFormatPr defaultColWidth="13.75" defaultRowHeight="27.75" customHeight="1" x14ac:dyDescent="0.2"/>
  <cols>
    <col min="1" max="1" width="1.25" style="13" customWidth="1"/>
    <col min="2" max="8" width="13.75" style="13"/>
    <col min="9" max="9" width="1.75" style="13" customWidth="1"/>
    <col min="10" max="10" width="11.125" style="13" customWidth="1"/>
    <col min="11" max="16384" width="13.75" style="13"/>
  </cols>
  <sheetData>
    <row r="1" spans="2:15" ht="9.75" customHeight="1" x14ac:dyDescent="0.2"/>
    <row r="2" spans="2:15" ht="27.75" customHeight="1" x14ac:dyDescent="0.2">
      <c r="B2" s="20" t="s">
        <v>102</v>
      </c>
      <c r="C2" s="20"/>
      <c r="D2" s="20"/>
      <c r="E2" s="21"/>
      <c r="F2" s="21"/>
      <c r="G2" s="21"/>
      <c r="H2" s="21"/>
      <c r="I2" s="21"/>
    </row>
    <row r="3" spans="2:15" ht="27.75" customHeight="1" thickBot="1" x14ac:dyDescent="0.25">
      <c r="B3" s="22" t="s">
        <v>103</v>
      </c>
      <c r="C3" s="28" t="s">
        <v>124</v>
      </c>
      <c r="D3" s="52"/>
      <c r="E3" s="28" t="s">
        <v>131</v>
      </c>
      <c r="F3" s="52"/>
      <c r="G3" s="22"/>
      <c r="H3" s="22" t="s">
        <v>104</v>
      </c>
      <c r="I3" s="68" t="s">
        <v>130</v>
      </c>
      <c r="J3" s="68"/>
      <c r="K3" s="68"/>
      <c r="L3" s="68"/>
      <c r="M3" s="68"/>
      <c r="N3" s="68"/>
      <c r="O3" s="68"/>
    </row>
    <row r="4" spans="2:15" ht="27.75" customHeight="1" thickBot="1" x14ac:dyDescent="0.25">
      <c r="B4" s="23" t="s">
        <v>116</v>
      </c>
      <c r="C4" s="23" t="s">
        <v>106</v>
      </c>
      <c r="D4" s="23" t="s">
        <v>107</v>
      </c>
      <c r="E4" s="23" t="s">
        <v>108</v>
      </c>
      <c r="F4" s="23" t="s">
        <v>109</v>
      </c>
      <c r="G4" s="23" t="s">
        <v>110</v>
      </c>
      <c r="H4" s="23" t="s">
        <v>111</v>
      </c>
      <c r="J4" s="23" t="s">
        <v>105</v>
      </c>
      <c r="K4" s="23" t="s">
        <v>76</v>
      </c>
      <c r="L4" s="23" t="s">
        <v>127</v>
      </c>
      <c r="M4" s="23" t="s">
        <v>108</v>
      </c>
      <c r="N4" s="23" t="s">
        <v>128</v>
      </c>
      <c r="O4" s="23" t="s">
        <v>110</v>
      </c>
    </row>
    <row r="5" spans="2:15" ht="27.75" customHeight="1" x14ac:dyDescent="0.2">
      <c r="B5" s="24" t="s">
        <v>84</v>
      </c>
      <c r="C5" s="24" t="s">
        <v>112</v>
      </c>
      <c r="D5" s="25">
        <v>4915</v>
      </c>
      <c r="E5" s="25">
        <v>3633</v>
      </c>
      <c r="F5" s="25">
        <v>1186</v>
      </c>
      <c r="G5" s="25">
        <v>3612</v>
      </c>
      <c r="H5" s="54"/>
      <c r="J5" s="13" t="s">
        <v>117</v>
      </c>
      <c r="K5" s="13" t="s">
        <v>84</v>
      </c>
      <c r="L5" s="55"/>
      <c r="M5" s="55"/>
      <c r="N5" s="55"/>
      <c r="O5" s="55"/>
    </row>
    <row r="6" spans="2:15" ht="27.75" customHeight="1" x14ac:dyDescent="0.2">
      <c r="B6" s="26" t="s">
        <v>123</v>
      </c>
      <c r="C6" s="26" t="s">
        <v>113</v>
      </c>
      <c r="D6" s="27">
        <v>4293</v>
      </c>
      <c r="E6" s="27">
        <v>3632</v>
      </c>
      <c r="F6" s="27">
        <v>3233</v>
      </c>
      <c r="G6" s="27">
        <v>3075</v>
      </c>
      <c r="H6" s="54"/>
      <c r="J6" s="26" t="s">
        <v>126</v>
      </c>
      <c r="K6" s="26" t="s">
        <v>87</v>
      </c>
      <c r="L6" s="55"/>
      <c r="M6" s="55"/>
      <c r="N6" s="55"/>
      <c r="O6" s="55"/>
    </row>
    <row r="7" spans="2:15" ht="27.75" customHeight="1" x14ac:dyDescent="0.2">
      <c r="B7" s="24" t="s">
        <v>84</v>
      </c>
      <c r="C7" s="24" t="s">
        <v>118</v>
      </c>
      <c r="D7" s="25">
        <v>1717</v>
      </c>
      <c r="E7" s="25">
        <v>4456</v>
      </c>
      <c r="F7" s="25">
        <v>3420</v>
      </c>
      <c r="G7" s="25">
        <v>3487</v>
      </c>
      <c r="H7" s="54"/>
      <c r="J7" s="13" t="s">
        <v>115</v>
      </c>
      <c r="K7" s="13" t="s">
        <v>85</v>
      </c>
      <c r="L7" s="55"/>
      <c r="M7" s="55"/>
      <c r="N7" s="55"/>
      <c r="O7" s="55"/>
    </row>
    <row r="8" spans="2:15" ht="27.75" customHeight="1" x14ac:dyDescent="0.2">
      <c r="B8" s="26" t="s">
        <v>87</v>
      </c>
      <c r="C8" s="26" t="s">
        <v>119</v>
      </c>
      <c r="D8" s="27">
        <v>4346</v>
      </c>
      <c r="E8" s="27">
        <v>3398</v>
      </c>
      <c r="F8" s="27">
        <v>1997</v>
      </c>
      <c r="G8" s="27">
        <v>3982</v>
      </c>
      <c r="H8" s="54"/>
      <c r="J8" s="26" t="s">
        <v>114</v>
      </c>
      <c r="K8" s="26" t="s">
        <v>129</v>
      </c>
      <c r="L8" s="55"/>
      <c r="M8" s="55"/>
      <c r="N8" s="55"/>
      <c r="O8" s="55"/>
    </row>
    <row r="9" spans="2:15" ht="27.75" customHeight="1" x14ac:dyDescent="0.2">
      <c r="B9" s="24" t="s">
        <v>84</v>
      </c>
      <c r="C9" s="24" t="s">
        <v>120</v>
      </c>
      <c r="D9" s="25">
        <v>5336</v>
      </c>
      <c r="E9" s="25">
        <v>5888</v>
      </c>
      <c r="F9" s="25">
        <v>6559</v>
      </c>
      <c r="G9" s="25">
        <v>7707</v>
      </c>
      <c r="H9" s="54"/>
    </row>
    <row r="10" spans="2:15" ht="27.75" customHeight="1" x14ac:dyDescent="0.2">
      <c r="B10" s="26" t="s">
        <v>122</v>
      </c>
      <c r="C10" s="26" t="s">
        <v>121</v>
      </c>
      <c r="D10" s="27">
        <v>2340</v>
      </c>
      <c r="E10" s="27">
        <v>8446</v>
      </c>
      <c r="F10" s="27">
        <v>4437</v>
      </c>
      <c r="G10" s="27">
        <v>9438</v>
      </c>
      <c r="H10" s="54"/>
    </row>
    <row r="11" spans="2:15" ht="27.75" customHeight="1" x14ac:dyDescent="0.2">
      <c r="B11" s="24" t="s">
        <v>86</v>
      </c>
      <c r="C11" s="24" t="s">
        <v>118</v>
      </c>
      <c r="D11" s="25">
        <v>1166</v>
      </c>
      <c r="E11" s="25">
        <v>1651</v>
      </c>
      <c r="F11" s="25">
        <v>1740</v>
      </c>
      <c r="G11" s="25">
        <v>3164</v>
      </c>
      <c r="H11" s="54"/>
    </row>
    <row r="12" spans="2:15" ht="27.75" customHeight="1" x14ac:dyDescent="0.2">
      <c r="B12" s="29"/>
      <c r="C12" s="30" t="s">
        <v>125</v>
      </c>
      <c r="D12" s="53"/>
      <c r="E12" s="53"/>
      <c r="F12" s="53"/>
      <c r="G12" s="53"/>
      <c r="H12" s="53"/>
    </row>
    <row r="14" spans="2:15" ht="27.75" customHeight="1" x14ac:dyDescent="0.2">
      <c r="B14" s="69" t="s">
        <v>138</v>
      </c>
      <c r="C14" s="70"/>
      <c r="D14" s="70"/>
      <c r="E14" s="70"/>
      <c r="F14" s="70"/>
      <c r="G14" s="70"/>
      <c r="H14" s="71"/>
    </row>
    <row r="15" spans="2:15" ht="27.75" customHeight="1" x14ac:dyDescent="0.2">
      <c r="B15" s="72"/>
      <c r="C15" s="73"/>
      <c r="D15" s="73"/>
      <c r="E15" s="73"/>
      <c r="F15" s="73"/>
      <c r="G15" s="73"/>
      <c r="H15" s="74"/>
    </row>
  </sheetData>
  <mergeCells count="2">
    <mergeCell ref="I3:O3"/>
    <mergeCell ref="B14:H15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知识点</vt:lpstr>
      <vt:lpstr>案例1-数组公式的加减乘除</vt:lpstr>
      <vt:lpstr>案例2-数组公式的综合应用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2019-02-10T14:20:35Z</dcterms:modified>
</cp:coreProperties>
</file>