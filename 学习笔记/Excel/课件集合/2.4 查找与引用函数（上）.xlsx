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zh\Desktop\芒种学院\第一期训练营-Excel零基础入门\02 Excel函数进阶学习\2.4 查找与引用函数（上）\"/>
    </mc:Choice>
  </mc:AlternateContent>
  <bookViews>
    <workbookView xWindow="0" yWindow="0" windowWidth="22260" windowHeight="12645"/>
  </bookViews>
  <sheets>
    <sheet name="知识点" sheetId="1" r:id="rId1"/>
    <sheet name="案例1" sheetId="2" r:id="rId2"/>
    <sheet name="案例2" sheetId="3" r:id="rId3"/>
    <sheet name="练习1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C10" i="4"/>
  <c r="D10" i="4"/>
  <c r="G10" i="4" s="1"/>
  <c r="E10" i="4"/>
  <c r="F10" i="4"/>
  <c r="G5" i="4"/>
  <c r="G6" i="4"/>
  <c r="G7" i="4"/>
  <c r="G8" i="4"/>
  <c r="G9" i="4"/>
  <c r="C11" i="2"/>
  <c r="D11" i="2"/>
  <c r="E11" i="2"/>
  <c r="F11" i="2"/>
  <c r="G6" i="2"/>
  <c r="G7" i="2"/>
  <c r="G8" i="2"/>
  <c r="G9" i="2"/>
  <c r="G10" i="2"/>
  <c r="G11" i="2" l="1"/>
</calcChain>
</file>

<file path=xl/sharedStrings.xml><?xml version="1.0" encoding="utf-8"?>
<sst xmlns="http://schemas.openxmlformats.org/spreadsheetml/2006/main" count="186" uniqueCount="168">
  <si>
    <t>序号</t>
    <phoneticPr fontId="3" type="noConversion"/>
  </si>
  <si>
    <t>知识点</t>
    <phoneticPr fontId="3" type="noConversion"/>
  </si>
  <si>
    <t>简介</t>
    <phoneticPr fontId="3" type="noConversion"/>
  </si>
  <si>
    <t>注意事项</t>
    <phoneticPr fontId="3" type="noConversion"/>
  </si>
  <si>
    <t>练习提交方式</t>
    <phoneticPr fontId="3" type="noConversion"/>
  </si>
  <si>
    <t>课外扩展</t>
    <phoneticPr fontId="3" type="noConversion"/>
  </si>
  <si>
    <t>参加训练营，查看群公告，将【练习】完成后发送到助理老师的邮箱，右键命名格式：微信名+课程节数。
例如：指北针+2.4</t>
    <phoneticPr fontId="3" type="noConversion"/>
  </si>
  <si>
    <t>MATCH</t>
    <phoneticPr fontId="3" type="noConversion"/>
  </si>
  <si>
    <t>ROW/COLUMN</t>
    <phoneticPr fontId="3" type="noConversion"/>
  </si>
  <si>
    <t>INDEX</t>
    <phoneticPr fontId="3" type="noConversion"/>
  </si>
  <si>
    <t>参数</t>
    <phoneticPr fontId="3" type="noConversion"/>
  </si>
  <si>
    <t>INDEX(表格区域，行坐标，列坐标)</t>
    <phoneticPr fontId="3" type="noConversion"/>
  </si>
  <si>
    <t>根据指定的表格区域及二维坐标，返回单元格相关信息</t>
    <phoneticPr fontId="3" type="noConversion"/>
  </si>
  <si>
    <t>MATCH(待查询信息，数据所在区域，查询模式)</t>
    <phoneticPr fontId="3" type="noConversion"/>
  </si>
  <si>
    <t>1、行坐标和列坐标与单元格的行号、列号无关
只针对用户指定的表格区域</t>
    <phoneticPr fontId="3" type="noConversion"/>
  </si>
  <si>
    <t>1、Vlookup图文详解</t>
    <phoneticPr fontId="3" type="noConversion"/>
  </si>
  <si>
    <t>2、Vlookup视频简易讲解</t>
    <phoneticPr fontId="3" type="noConversion"/>
  </si>
  <si>
    <t>单位：芒种科技</t>
    <phoneticPr fontId="3" type="noConversion"/>
  </si>
  <si>
    <t>公司</t>
    <phoneticPr fontId="3" type="noConversion"/>
  </si>
  <si>
    <t>一季度</t>
  </si>
  <si>
    <t>一季度</t>
    <phoneticPr fontId="3" type="noConversion"/>
  </si>
  <si>
    <t>二季度</t>
    <phoneticPr fontId="3" type="noConversion"/>
  </si>
  <si>
    <t>三季度</t>
    <phoneticPr fontId="3" type="noConversion"/>
  </si>
  <si>
    <t>四季度</t>
  </si>
  <si>
    <t>四季度</t>
    <phoneticPr fontId="3" type="noConversion"/>
  </si>
  <si>
    <t>合计</t>
    <phoneticPr fontId="3" type="noConversion"/>
  </si>
  <si>
    <t>A公司</t>
  </si>
  <si>
    <t>A公司</t>
    <phoneticPr fontId="3" type="noConversion"/>
  </si>
  <si>
    <t>B公司</t>
    <phoneticPr fontId="3" type="noConversion"/>
  </si>
  <si>
    <t>C公司</t>
  </si>
  <si>
    <t>合计</t>
    <phoneticPr fontId="3" type="noConversion"/>
  </si>
  <si>
    <t>查询季度</t>
    <phoneticPr fontId="3" type="noConversion"/>
  </si>
  <si>
    <t>收入金额</t>
    <phoneticPr fontId="3" type="noConversion"/>
  </si>
  <si>
    <t>单位：万</t>
    <phoneticPr fontId="3" type="noConversion"/>
  </si>
  <si>
    <t>2018年度</t>
    <phoneticPr fontId="3" type="noConversion"/>
  </si>
  <si>
    <t>分公司季度收入统计表</t>
    <phoneticPr fontId="3" type="noConversion"/>
  </si>
  <si>
    <t>C公司</t>
    <phoneticPr fontId="3" type="noConversion"/>
  </si>
  <si>
    <t>D公司</t>
    <phoneticPr fontId="3" type="noConversion"/>
  </si>
  <si>
    <t>E公司</t>
    <phoneticPr fontId="3" type="noConversion"/>
  </si>
  <si>
    <t>返回B5:F10中，第2行，第4列的单元格内容：</t>
    <phoneticPr fontId="3" type="noConversion"/>
  </si>
  <si>
    <t>姓名</t>
    <phoneticPr fontId="3" type="noConversion"/>
  </si>
  <si>
    <t>年龄</t>
    <phoneticPr fontId="3" type="noConversion"/>
  </si>
  <si>
    <t>崔小妹</t>
  </si>
  <si>
    <t>余琴轩</t>
  </si>
  <si>
    <t>蔡洮洮</t>
  </si>
  <si>
    <t>禄芦雪</t>
  </si>
  <si>
    <t>慕傲白</t>
  </si>
  <si>
    <t>武忆彤</t>
  </si>
  <si>
    <t>景湘怡</t>
  </si>
  <si>
    <t>能笑晴</t>
  </si>
  <si>
    <t>邓昭懿</t>
  </si>
  <si>
    <t>蓟幼珊</t>
  </si>
  <si>
    <t>蒲慧玲</t>
  </si>
  <si>
    <t>阙秋华</t>
  </si>
  <si>
    <t>宿梦桃</t>
  </si>
  <si>
    <t>易倩愉</t>
  </si>
  <si>
    <t>段友卉</t>
  </si>
  <si>
    <t>宫华婉</t>
  </si>
  <si>
    <t>耿凉夏</t>
  </si>
  <si>
    <t>农云岚</t>
  </si>
  <si>
    <t>储访烟</t>
  </si>
  <si>
    <t>古琳淼</t>
  </si>
  <si>
    <t>蓬慧琴</t>
  </si>
  <si>
    <t>益歆琳</t>
  </si>
  <si>
    <t>车涵涵</t>
  </si>
  <si>
    <t>胡凝雪</t>
  </si>
  <si>
    <t>蒋悠馨</t>
  </si>
  <si>
    <t>容君洁</t>
  </si>
  <si>
    <t>邰寻琴</t>
  </si>
  <si>
    <t>杨翠萍</t>
  </si>
  <si>
    <t>鱼姣妍</t>
  </si>
  <si>
    <t>钟觅双</t>
  </si>
  <si>
    <t>马锦诗</t>
  </si>
  <si>
    <t>宰依风</t>
  </si>
  <si>
    <t>古惜文</t>
  </si>
  <si>
    <t>龚琳怡</t>
  </si>
  <si>
    <t>蔡千兰</t>
  </si>
  <si>
    <t>师芝兰</t>
  </si>
  <si>
    <t>卢书语</t>
  </si>
  <si>
    <t>文白夜</t>
  </si>
  <si>
    <t>赖凌寒</t>
  </si>
  <si>
    <t>郏丽思</t>
  </si>
  <si>
    <t>朱和悦</t>
  </si>
  <si>
    <t>程幻天</t>
  </si>
  <si>
    <t>慎春桃</t>
  </si>
  <si>
    <t>江佩玉</t>
  </si>
  <si>
    <t>甄亦瑶</t>
  </si>
  <si>
    <t>蒙名姝</t>
  </si>
  <si>
    <t>庾新蕾</t>
  </si>
  <si>
    <t>莘英豪</t>
  </si>
  <si>
    <t>蒯宇丞</t>
  </si>
  <si>
    <t>燕如凡</t>
  </si>
  <si>
    <t>薛品韵</t>
  </si>
  <si>
    <t>蒯婷美</t>
  </si>
  <si>
    <t>于嘉洁</t>
  </si>
  <si>
    <t>通秉文</t>
  </si>
  <si>
    <t>司聪睿</t>
  </si>
  <si>
    <t>方悦和</t>
  </si>
  <si>
    <t>丁偲偲</t>
  </si>
  <si>
    <t>堵悦儿</t>
  </si>
  <si>
    <t>韩向萍</t>
  </si>
  <si>
    <t>冷奚瑶</t>
  </si>
  <si>
    <t>龚初柳</t>
  </si>
  <si>
    <t>祖春燕</t>
  </si>
  <si>
    <t>暨典雅</t>
  </si>
  <si>
    <t>于雨蓉</t>
  </si>
  <si>
    <t>邵夏青</t>
  </si>
  <si>
    <t>梁叶吉</t>
  </si>
  <si>
    <t>姚甘雨</t>
  </si>
  <si>
    <t>杨倩语</t>
  </si>
  <si>
    <t>沃丝微</t>
  </si>
  <si>
    <t>郗妍玲</t>
  </si>
  <si>
    <t>林采柳</t>
  </si>
  <si>
    <t>郁慧月</t>
  </si>
  <si>
    <t>燕子美</t>
  </si>
  <si>
    <t>双洋然</t>
  </si>
  <si>
    <t>曾新之</t>
  </si>
  <si>
    <t>訾颐然</t>
  </si>
  <si>
    <t>韶雍雅</t>
  </si>
  <si>
    <t>顾幼珊</t>
  </si>
  <si>
    <t>终醉薇</t>
  </si>
  <si>
    <t>庾宁夏</t>
  </si>
  <si>
    <t>曾斐斐</t>
  </si>
  <si>
    <t>鄂小妹</t>
  </si>
  <si>
    <t>尚夜午</t>
  </si>
  <si>
    <t>党寒蕾</t>
  </si>
  <si>
    <t>梁恨寒</t>
  </si>
  <si>
    <t>充兰梦</t>
  </si>
  <si>
    <t>孟清雅</t>
  </si>
  <si>
    <t>司瑞芝</t>
  </si>
  <si>
    <t>阚新月</t>
  </si>
  <si>
    <t>黄如冰</t>
  </si>
  <si>
    <t>厍雨双</t>
  </si>
  <si>
    <t>蒋菁茹</t>
  </si>
  <si>
    <t>田萦怀</t>
  </si>
  <si>
    <t>申听兰</t>
  </si>
  <si>
    <t>毛青木</t>
  </si>
  <si>
    <t>蓬美芳</t>
  </si>
  <si>
    <t>焦子美</t>
  </si>
  <si>
    <t>阎桂芝</t>
  </si>
  <si>
    <t>秦亚萍</t>
  </si>
  <si>
    <t>芮晓曼</t>
  </si>
  <si>
    <t>查询条件</t>
    <phoneticPr fontId="3" type="noConversion"/>
  </si>
  <si>
    <t>查询值</t>
    <phoneticPr fontId="3" type="noConversion"/>
  </si>
  <si>
    <t>公司</t>
    <phoneticPr fontId="3" type="noConversion"/>
  </si>
  <si>
    <t>季度</t>
    <phoneticPr fontId="3" type="noConversion"/>
  </si>
  <si>
    <t>查询结果</t>
    <phoneticPr fontId="3" type="noConversion"/>
  </si>
  <si>
    <t>收入金额</t>
    <phoneticPr fontId="3" type="noConversion"/>
  </si>
  <si>
    <t>是否超过平均值</t>
    <phoneticPr fontId="3" type="noConversion"/>
  </si>
  <si>
    <t>该公司4个季度总收入</t>
    <phoneticPr fontId="3" type="noConversion"/>
  </si>
  <si>
    <t>该季度所有公司收入</t>
    <phoneticPr fontId="3" type="noConversion"/>
  </si>
  <si>
    <t>助理老师邮箱：mongjoy@163.com</t>
    <phoneticPr fontId="3" type="noConversion"/>
  </si>
  <si>
    <t>案例</t>
    <phoneticPr fontId="3" type="noConversion"/>
  </si>
  <si>
    <t>ROW(待查询单元格/区域)
COLUMN(待查询单元格/区域)</t>
    <phoneticPr fontId="3" type="noConversion"/>
  </si>
  <si>
    <t>ROW函数查询单元格的行号
COLUMN函数查询单元格的列号</t>
    <phoneticPr fontId="3" type="noConversion"/>
  </si>
  <si>
    <t>ROW(A1)
COLUMN(A1)
ROW()</t>
    <phoneticPr fontId="3" type="noConversion"/>
  </si>
  <si>
    <t>INDEX("A1:B10",3,1)</t>
    <phoneticPr fontId="3" type="noConversion"/>
  </si>
  <si>
    <t>MATCH(5,A1:A100,0)</t>
    <phoneticPr fontId="3" type="noConversion"/>
  </si>
  <si>
    <t>if+average</t>
    <phoneticPr fontId="3" type="noConversion"/>
  </si>
  <si>
    <t>match+index</t>
    <phoneticPr fontId="3" type="noConversion"/>
  </si>
  <si>
    <t>提示</t>
    <phoneticPr fontId="3" type="noConversion"/>
  </si>
  <si>
    <t>match+index</t>
    <phoneticPr fontId="3" type="noConversion"/>
  </si>
  <si>
    <t>反馈某个数据在用户指定区域内对应的顺序号，查询模式有3种，分别是-1、0、1（若空缺，则默认为1）</t>
    <phoneticPr fontId="3" type="noConversion"/>
  </si>
  <si>
    <r>
      <t xml:space="preserve">反馈某个数据在用户指定区域内对应的顺序号
</t>
    </r>
    <r>
      <rPr>
        <b/>
        <sz val="11"/>
        <color theme="1" tint="0.34998626667073579"/>
        <rFont val="Microsoft YaHei UI"/>
        <family val="2"/>
        <charset val="134"/>
      </rPr>
      <t xml:space="preserve">1：查询大于等于待查询数据的最小值（降序排列）
</t>
    </r>
    <r>
      <rPr>
        <b/>
        <sz val="11"/>
        <color rgb="FFFF0000"/>
        <rFont val="Microsoft YaHei UI"/>
        <family val="2"/>
        <charset val="134"/>
      </rPr>
      <t>0：精确查询待查询数据（任意）</t>
    </r>
    <r>
      <rPr>
        <b/>
        <sz val="11"/>
        <color theme="1" tint="0.34998626667073579"/>
        <rFont val="Microsoft YaHei UI"/>
        <family val="2"/>
        <charset val="134"/>
      </rPr>
      <t xml:space="preserve">
-1：查询小于等于待查询数据的最大值（神故乡排列）</t>
    </r>
    <phoneticPr fontId="3" type="noConversion"/>
  </si>
  <si>
    <t>在B6:F6中，查询1186的位置：</t>
    <phoneticPr fontId="3" type="noConversion"/>
  </si>
  <si>
    <t>查询公司</t>
    <phoneticPr fontId="3" type="noConversion"/>
  </si>
  <si>
    <r>
      <t xml:space="preserve">1、该序号为Excel的原始序号，与相关查询范围无关
</t>
    </r>
    <r>
      <rPr>
        <b/>
        <sz val="11"/>
        <color theme="1" tint="0.34998626667073579"/>
        <rFont val="Microsoft YaHei UI"/>
        <family val="2"/>
        <charset val="134"/>
      </rPr>
      <t>查询列号的时候，返回的信息并非坐标的对应的字母
而是字母对应的顺序；</t>
    </r>
    <r>
      <rPr>
        <sz val="11"/>
        <color theme="1" tint="0.34998626667073579"/>
        <rFont val="Microsoft YaHei UI"/>
        <family val="2"/>
        <charset val="134"/>
      </rPr>
      <t xml:space="preserve">
2、当参数为区域时，仅以第一个单元格的信息为准</t>
    </r>
    <phoneticPr fontId="3" type="noConversion"/>
  </si>
  <si>
    <t>课程知识点（更多Office课程，前往公众号：芒种学院）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</si>
</sst>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7" formatCode="&quot;¥&quot;#,##0.00;&quot;¥&quot;\-#,##0.00"/>
    <numFmt numFmtId="176" formatCode="[$-F800]dddd\,\ mmmm\ dd\,\ yyyy"/>
  </numFmts>
  <fonts count="19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sz val="27"/>
      <color theme="9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color theme="1" tint="0.34998626667073579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sz val="27"/>
      <color theme="4"/>
      <name val="Microsoft YaHei UI"/>
      <family val="2"/>
      <charset val="134"/>
    </font>
    <font>
      <sz val="16.5"/>
      <color theme="4" tint="-0.24994659260841701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u/>
      <sz val="11"/>
      <color theme="10"/>
      <name val="等线"/>
      <family val="2"/>
      <scheme val="minor"/>
    </font>
    <font>
      <u/>
      <sz val="11"/>
      <color theme="10"/>
      <name val="Microsoft YaHei UI"/>
      <family val="2"/>
      <charset val="134"/>
    </font>
    <font>
      <b/>
      <sz val="12"/>
      <color theme="1"/>
      <name val="Microsoft YaHei UI"/>
      <family val="2"/>
      <charset val="134"/>
    </font>
    <font>
      <sz val="10"/>
      <color theme="1" tint="0.499984740745262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Microsoft YaHei UI"/>
      <family val="2"/>
      <charset val="134"/>
    </font>
    <font>
      <sz val="11"/>
      <color theme="1" tint="0.499984740745262"/>
      <name val="Microsoft YaHei U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9" tint="0.39994506668294322"/>
      </bottom>
      <diagonal/>
    </border>
    <border>
      <left/>
      <right/>
      <top/>
      <bottom style="medium">
        <color theme="9" tint="0.39994506668294322"/>
      </bottom>
      <diagonal/>
    </border>
    <border>
      <left/>
      <right/>
      <top/>
      <bottom style="thin">
        <color theme="2" tint="-0.24994659260841701"/>
      </bottom>
      <diagonal/>
    </border>
    <border>
      <left/>
      <right/>
      <top style="thin">
        <color theme="9" tint="0.3999450666829432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</borders>
  <cellStyleXfs count="11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>
      <alignment horizontal="center"/>
    </xf>
    <xf numFmtId="176" fontId="9" fillId="0" borderId="0" applyFont="0" applyFill="0" applyBorder="0">
      <alignment horizontal="right" indent="1"/>
    </xf>
    <xf numFmtId="0" fontId="9" fillId="0" borderId="0">
      <alignment horizontal="left" wrapText="1" indent="1"/>
    </xf>
    <xf numFmtId="7" fontId="9" fillId="0" borderId="0" applyFill="0" applyBorder="0" applyProtection="0">
      <alignment horizontal="right" indent="1"/>
    </xf>
    <xf numFmtId="0" fontId="5" fillId="0" borderId="0" applyNumberFormat="0" applyFill="0" applyBorder="0" applyProtection="0">
      <alignment horizontal="left"/>
    </xf>
    <xf numFmtId="7" fontId="8" fillId="0" borderId="0" applyFill="0" applyBorder="0" applyProtection="0">
      <alignment horizontal="left" vertical="top"/>
    </xf>
    <xf numFmtId="0" fontId="5" fillId="0" borderId="3" applyNumberFormat="0" applyFill="0" applyProtection="0">
      <alignment vertical="center"/>
    </xf>
    <xf numFmtId="0" fontId="7" fillId="0" borderId="0" applyNumberFormat="0" applyFill="0" applyBorder="0" applyProtection="0">
      <alignment horizontal="left" vertical="center"/>
    </xf>
    <xf numFmtId="0" fontId="10" fillId="0" borderId="0" applyNumberFormat="0" applyFill="0" applyBorder="0" applyAlignment="0" applyProtection="0"/>
  </cellStyleXfs>
  <cellXfs count="53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2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5" fillId="0" borderId="0" xfId="0" applyFont="1"/>
    <xf numFmtId="0" fontId="5" fillId="0" borderId="1" xfId="0" applyFont="1" applyBorder="1" applyAlignment="1"/>
    <xf numFmtId="0" fontId="5" fillId="0" borderId="0" xfId="0" applyFont="1" applyBorder="1" applyAlignment="1"/>
    <xf numFmtId="0" fontId="5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12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4" fontId="15" fillId="3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4" fontId="15" fillId="4" borderId="0" xfId="0" applyNumberFormat="1" applyFont="1" applyFill="1" applyAlignment="1">
      <alignment horizontal="center" vertical="center"/>
    </xf>
    <xf numFmtId="4" fontId="16" fillId="4" borderId="0" xfId="0" applyNumberFormat="1" applyFont="1" applyFill="1" applyAlignment="1">
      <alignment horizontal="center" vertical="center"/>
    </xf>
    <xf numFmtId="4" fontId="16" fillId="3" borderId="0" xfId="0" applyNumberFormat="1" applyFont="1" applyFill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4" fontId="16" fillId="4" borderId="5" xfId="0" applyNumberFormat="1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right" vertical="center" indent="1"/>
    </xf>
    <xf numFmtId="0" fontId="17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1" fillId="0" borderId="4" xfId="10" applyFont="1" applyBorder="1" applyAlignment="1">
      <alignment horizontal="left"/>
    </xf>
    <xf numFmtId="0" fontId="11" fillId="0" borderId="0" xfId="10" applyFont="1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</cellXfs>
  <cellStyles count="11">
    <cellStyle name="标题" xfId="1" builtinId="15"/>
    <cellStyle name="标题 1 2" xfId="8"/>
    <cellStyle name="标题 5" xfId="9"/>
    <cellStyle name="常规" xfId="0" builtinId="0"/>
    <cellStyle name="常规 2" xfId="4"/>
    <cellStyle name="超链接" xfId="10" builtinId="8"/>
    <cellStyle name="货币 2" xfId="7"/>
    <cellStyle name="货币[0] 2" xfId="5"/>
    <cellStyle name="记账代码" xfId="2"/>
    <cellStyle name="解释性文本 2" xfId="6"/>
    <cellStyle name="日期" xfId="3"/>
  </cellStyles>
  <dxfs count="4">
    <dxf>
      <fill>
        <patternFill>
          <bgColor theme="2"/>
        </patternFill>
      </fill>
    </dxf>
    <dxf>
      <font>
        <b/>
        <i val="0"/>
        <color theme="4" tint="-0.24994659260841701"/>
      </font>
      <border>
        <top style="thick">
          <color theme="2" tint="-0.24994659260841701"/>
        </top>
      </border>
    </dxf>
    <dxf>
      <font>
        <color theme="1" tint="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记账登记表" pivot="0" count="4">
      <tableStyleElement type="wholeTable" dxfId="3"/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p.weixin.qq.com/s?__biz=MzUzMTUyMzkxMg==&amp;mid=2247483936&amp;idx=1&amp;sn=085a93a3a08478c6255a3821cf21e91f&amp;chksm=fa407207cd37fb114dd2dd23bb0096b81a4acdb93dc4d94b8bb63b21b425c263dd54593ea40e&amp;token=1385986514&amp;lang=zh_CN" TargetMode="External"/><Relationship Id="rId1" Type="http://schemas.openxmlformats.org/officeDocument/2006/relationships/hyperlink" Target="https://mp.weixin.qq.com/s?__biz=MzUzMTUyMzkxMg==&amp;mid=2247483780&amp;idx=1&amp;sn=b0c7b9822af566adfa5a53c91eaff5c8&amp;chksm=fa4071a3cd37f8b5c35f0273ffbde4de285f063a1ea74c84d39580bc878a15f0494e64e42136&amp;token=1385986514&amp;lang=zh_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51"/>
  <sheetViews>
    <sheetView showGridLines="0" tabSelected="1" zoomScaleNormal="100" workbookViewId="0">
      <selection activeCell="E8" sqref="E8"/>
    </sheetView>
  </sheetViews>
  <sheetFormatPr defaultRowHeight="16.5" x14ac:dyDescent="0.3"/>
  <cols>
    <col min="1" max="1" width="2.125" style="2" customWidth="1"/>
    <col min="2" max="2" width="7.875" style="2" customWidth="1"/>
    <col min="3" max="3" width="18.375" style="2" customWidth="1"/>
    <col min="4" max="4" width="42.625" style="2" customWidth="1"/>
    <col min="5" max="5" width="31.625" style="2" customWidth="1"/>
    <col min="6" max="6" width="35.875" style="2" customWidth="1"/>
    <col min="7" max="7" width="48" style="2" customWidth="1"/>
    <col min="8" max="16384" width="9" style="2"/>
  </cols>
  <sheetData>
    <row r="1" spans="2:12" ht="55.5" customHeight="1" x14ac:dyDescent="0.3">
      <c r="B1" s="1" t="s">
        <v>167</v>
      </c>
    </row>
    <row r="2" spans="2:12" s="3" customFormat="1" ht="23.25" customHeight="1" x14ac:dyDescent="0.3">
      <c r="B2" s="39" t="s">
        <v>5</v>
      </c>
      <c r="C2" s="39"/>
      <c r="D2" s="39"/>
      <c r="F2" s="11" t="s">
        <v>4</v>
      </c>
      <c r="G2" s="11"/>
      <c r="H2" s="12"/>
    </row>
    <row r="3" spans="2:12" s="3" customFormat="1" ht="19.5" customHeight="1" x14ac:dyDescent="0.3">
      <c r="B3" s="42" t="s">
        <v>15</v>
      </c>
      <c r="C3" s="42"/>
      <c r="D3" s="42"/>
      <c r="F3" s="40" t="s">
        <v>6</v>
      </c>
      <c r="G3" s="40"/>
    </row>
    <row r="4" spans="2:12" s="3" customFormat="1" ht="19.5" customHeight="1" x14ac:dyDescent="0.3">
      <c r="B4" s="43" t="s">
        <v>16</v>
      </c>
      <c r="C4" s="43"/>
      <c r="D4" s="43"/>
      <c r="F4" s="41"/>
      <c r="G4" s="41"/>
    </row>
    <row r="5" spans="2:12" s="3" customFormat="1" ht="19.5" customHeight="1" x14ac:dyDescent="0.3">
      <c r="B5" s="44"/>
      <c r="C5" s="44"/>
      <c r="D5" s="44"/>
      <c r="F5" s="41"/>
      <c r="G5" s="41"/>
    </row>
    <row r="6" spans="2:12" s="3" customFormat="1" ht="8.25" customHeight="1" x14ac:dyDescent="0.3">
      <c r="B6" s="4"/>
      <c r="C6" s="4"/>
      <c r="D6" s="4"/>
    </row>
    <row r="7" spans="2:12" s="6" customFormat="1" ht="30" customHeight="1" thickBot="1" x14ac:dyDescent="0.25">
      <c r="B7" s="5" t="s">
        <v>0</v>
      </c>
      <c r="C7" s="5" t="s">
        <v>1</v>
      </c>
      <c r="D7" s="5" t="s">
        <v>10</v>
      </c>
      <c r="E7" s="5" t="s">
        <v>152</v>
      </c>
      <c r="F7" s="5" t="s">
        <v>2</v>
      </c>
      <c r="G7" s="5" t="s">
        <v>3</v>
      </c>
    </row>
    <row r="8" spans="2:12" s="6" customFormat="1" ht="74.25" customHeight="1" x14ac:dyDescent="0.2">
      <c r="B8" s="6">
        <v>1</v>
      </c>
      <c r="C8" s="6" t="s">
        <v>7</v>
      </c>
      <c r="D8" s="6" t="s">
        <v>13</v>
      </c>
      <c r="E8" s="7" t="s">
        <v>157</v>
      </c>
      <c r="F8" s="15" t="s">
        <v>162</v>
      </c>
      <c r="G8" s="13" t="s">
        <v>163</v>
      </c>
    </row>
    <row r="9" spans="2:12" s="6" customFormat="1" ht="59.25" customHeight="1" x14ac:dyDescent="0.2">
      <c r="B9" s="8">
        <v>2</v>
      </c>
      <c r="C9" s="8" t="s">
        <v>9</v>
      </c>
      <c r="D9" s="8" t="s">
        <v>11</v>
      </c>
      <c r="E9" s="9" t="s">
        <v>156</v>
      </c>
      <c r="F9" s="14" t="s">
        <v>12</v>
      </c>
      <c r="G9" s="16" t="s">
        <v>14</v>
      </c>
      <c r="L9" s="7"/>
    </row>
    <row r="10" spans="2:12" s="6" customFormat="1" ht="81.75" customHeight="1" x14ac:dyDescent="0.2">
      <c r="B10" s="6">
        <v>3</v>
      </c>
      <c r="C10" s="6" t="s">
        <v>8</v>
      </c>
      <c r="D10" s="15" t="s">
        <v>153</v>
      </c>
      <c r="E10" s="13" t="s">
        <v>155</v>
      </c>
      <c r="F10" s="15" t="s">
        <v>154</v>
      </c>
      <c r="G10" s="13" t="s">
        <v>166</v>
      </c>
      <c r="L10" s="7"/>
    </row>
    <row r="11" spans="2:12" s="3" customFormat="1" x14ac:dyDescent="0.3"/>
    <row r="12" spans="2:12" s="3" customFormat="1" x14ac:dyDescent="0.3"/>
    <row r="13" spans="2:12" s="3" customFormat="1" x14ac:dyDescent="0.3"/>
    <row r="14" spans="2:12" s="3" customFormat="1" x14ac:dyDescent="0.3">
      <c r="D14" s="3">
        <f>ROW(E2)</f>
        <v>2</v>
      </c>
    </row>
    <row r="15" spans="2:12" s="3" customFormat="1" x14ac:dyDescent="0.3"/>
    <row r="16" spans="2:12" s="3" customFormat="1" x14ac:dyDescent="0.3"/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  <row r="27" s="3" customFormat="1" x14ac:dyDescent="0.3"/>
    <row r="28" s="3" customFormat="1" x14ac:dyDescent="0.3"/>
    <row r="29" s="3" customFormat="1" x14ac:dyDescent="0.3"/>
    <row r="30" s="3" customFormat="1" x14ac:dyDescent="0.3"/>
    <row r="31" s="3" customFormat="1" x14ac:dyDescent="0.3"/>
    <row r="32" s="3" customFormat="1" x14ac:dyDescent="0.3"/>
    <row r="33" s="3" customFormat="1" x14ac:dyDescent="0.3"/>
    <row r="34" s="3" customFormat="1" x14ac:dyDescent="0.3"/>
    <row r="35" s="3" customFormat="1" x14ac:dyDescent="0.3"/>
    <row r="36" s="3" customFormat="1" x14ac:dyDescent="0.3"/>
    <row r="37" s="3" customFormat="1" x14ac:dyDescent="0.3"/>
    <row r="38" s="3" customFormat="1" x14ac:dyDescent="0.3"/>
    <row r="39" s="3" customFormat="1" x14ac:dyDescent="0.3"/>
    <row r="40" s="3" customFormat="1" x14ac:dyDescent="0.3"/>
    <row r="41" s="3" customFormat="1" x14ac:dyDescent="0.3"/>
    <row r="42" s="3" customFormat="1" x14ac:dyDescent="0.3"/>
    <row r="43" s="3" customFormat="1" x14ac:dyDescent="0.3"/>
    <row r="44" s="3" customFormat="1" x14ac:dyDescent="0.3"/>
    <row r="45" s="3" customFormat="1" x14ac:dyDescent="0.3"/>
    <row r="46" s="10" customFormat="1" x14ac:dyDescent="0.3"/>
    <row r="47" s="10" customFormat="1" x14ac:dyDescent="0.3"/>
    <row r="48" s="10" customFormat="1" x14ac:dyDescent="0.3"/>
    <row r="49" s="10" customFormat="1" x14ac:dyDescent="0.3"/>
    <row r="50" s="10" customFormat="1" x14ac:dyDescent="0.3"/>
    <row r="51" s="10" customFormat="1" x14ac:dyDescent="0.3"/>
  </sheetData>
  <mergeCells count="5">
    <mergeCell ref="B2:D2"/>
    <mergeCell ref="F3:G5"/>
    <mergeCell ref="B3:D3"/>
    <mergeCell ref="B4:D4"/>
    <mergeCell ref="B5:D5"/>
  </mergeCells>
  <phoneticPr fontId="3" type="noConversion"/>
  <hyperlinks>
    <hyperlink ref="B3:D3" r:id="rId1" location="rd" display="1、Vlookup图文详解"/>
    <hyperlink ref="B4:D4" r:id="rId2" location="rd" display="2、Vlookup视频简易讲解"/>
  </hyperlinks>
  <pageMargins left="0.7" right="0.7" top="0.75" bottom="0.75" header="0.3" footer="0.3"/>
  <pageSetup paperSize="9"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4"/>
  <sheetViews>
    <sheetView showGridLines="0" workbookViewId="0">
      <selection activeCell="E23" sqref="E23"/>
    </sheetView>
  </sheetViews>
  <sheetFormatPr defaultColWidth="13.75" defaultRowHeight="23.25" customHeight="1" x14ac:dyDescent="0.2"/>
  <cols>
    <col min="1" max="1" width="1.25" style="19" customWidth="1"/>
    <col min="2" max="16384" width="13.75" style="19"/>
  </cols>
  <sheetData>
    <row r="1" spans="2:7" ht="6" customHeight="1" x14ac:dyDescent="0.2"/>
    <row r="2" spans="2:7" ht="30.75" customHeight="1" x14ac:dyDescent="0.2">
      <c r="B2" s="17" t="s">
        <v>35</v>
      </c>
      <c r="C2" s="18"/>
      <c r="D2" s="18"/>
      <c r="E2" s="18"/>
      <c r="F2" s="18"/>
      <c r="G2" s="18"/>
    </row>
    <row r="3" spans="2:7" ht="18.75" customHeight="1" x14ac:dyDescent="0.2">
      <c r="B3" s="29" t="s">
        <v>17</v>
      </c>
      <c r="C3" s="29"/>
      <c r="D3" s="29"/>
      <c r="E3" s="29" t="s">
        <v>34</v>
      </c>
      <c r="F3" s="29"/>
      <c r="G3" s="29" t="s">
        <v>33</v>
      </c>
    </row>
    <row r="4" spans="2:7" ht="24" customHeight="1" thickBot="1" x14ac:dyDescent="0.25">
      <c r="B4" s="30" t="s">
        <v>165</v>
      </c>
      <c r="C4" s="32" t="s">
        <v>26</v>
      </c>
      <c r="D4" s="30" t="s">
        <v>31</v>
      </c>
      <c r="E4" s="32" t="s">
        <v>19</v>
      </c>
      <c r="F4" s="30" t="s">
        <v>32</v>
      </c>
      <c r="G4" s="32"/>
    </row>
    <row r="5" spans="2:7" ht="30.75" customHeight="1" thickBot="1" x14ac:dyDescent="0.25">
      <c r="B5" s="31" t="s">
        <v>18</v>
      </c>
      <c r="C5" s="31" t="s">
        <v>20</v>
      </c>
      <c r="D5" s="31" t="s">
        <v>21</v>
      </c>
      <c r="E5" s="31" t="s">
        <v>22</v>
      </c>
      <c r="F5" s="31" t="s">
        <v>24</v>
      </c>
      <c r="G5" s="31" t="s">
        <v>25</v>
      </c>
    </row>
    <row r="6" spans="2:7" ht="30.75" customHeight="1" x14ac:dyDescent="0.2">
      <c r="B6" s="23" t="s">
        <v>27</v>
      </c>
      <c r="C6" s="24">
        <v>4915</v>
      </c>
      <c r="D6" s="24">
        <v>3633</v>
      </c>
      <c r="E6" s="24">
        <v>1186</v>
      </c>
      <c r="F6" s="24">
        <v>3612</v>
      </c>
      <c r="G6" s="25">
        <f t="shared" ref="G6:G11" si="0">SUM(C6:F6)</f>
        <v>13346</v>
      </c>
    </row>
    <row r="7" spans="2:7" ht="30.75" customHeight="1" x14ac:dyDescent="0.2">
      <c r="B7" s="21" t="s">
        <v>28</v>
      </c>
      <c r="C7" s="22">
        <v>4293</v>
      </c>
      <c r="D7" s="22">
        <v>3632</v>
      </c>
      <c r="E7" s="22">
        <v>3233</v>
      </c>
      <c r="F7" s="22">
        <v>3075</v>
      </c>
      <c r="G7" s="26">
        <f t="shared" si="0"/>
        <v>14233</v>
      </c>
    </row>
    <row r="8" spans="2:7" ht="30.75" customHeight="1" x14ac:dyDescent="0.2">
      <c r="B8" s="23" t="s">
        <v>36</v>
      </c>
      <c r="C8" s="24">
        <v>1717</v>
      </c>
      <c r="D8" s="24">
        <v>4456</v>
      </c>
      <c r="E8" s="24">
        <v>3420</v>
      </c>
      <c r="F8" s="24">
        <v>3487</v>
      </c>
      <c r="G8" s="25">
        <f t="shared" si="0"/>
        <v>13080</v>
      </c>
    </row>
    <row r="9" spans="2:7" ht="30.75" customHeight="1" x14ac:dyDescent="0.2">
      <c r="B9" s="21" t="s">
        <v>37</v>
      </c>
      <c r="C9" s="22">
        <v>4346</v>
      </c>
      <c r="D9" s="22">
        <v>3398</v>
      </c>
      <c r="E9" s="22">
        <v>1997</v>
      </c>
      <c r="F9" s="22">
        <v>3982</v>
      </c>
      <c r="G9" s="26">
        <f t="shared" si="0"/>
        <v>13723</v>
      </c>
    </row>
    <row r="10" spans="2:7" ht="30.75" customHeight="1" x14ac:dyDescent="0.2">
      <c r="B10" s="23" t="s">
        <v>38</v>
      </c>
      <c r="C10" s="24">
        <v>1166</v>
      </c>
      <c r="D10" s="24">
        <v>1651</v>
      </c>
      <c r="E10" s="24">
        <v>1740</v>
      </c>
      <c r="F10" s="24">
        <v>3164</v>
      </c>
      <c r="G10" s="25">
        <f t="shared" si="0"/>
        <v>7721</v>
      </c>
    </row>
    <row r="11" spans="2:7" ht="30.75" customHeight="1" x14ac:dyDescent="0.2">
      <c r="B11" s="27" t="s">
        <v>30</v>
      </c>
      <c r="C11" s="28">
        <f>SUM(C6:C10)</f>
        <v>16437</v>
      </c>
      <c r="D11" s="28">
        <f>SUM(D6:D10)</f>
        <v>16770</v>
      </c>
      <c r="E11" s="28">
        <f>SUM(E6:E10)</f>
        <v>11576</v>
      </c>
      <c r="F11" s="28">
        <f>SUM(F6:F10)</f>
        <v>17320</v>
      </c>
      <c r="G11" s="28">
        <f t="shared" si="0"/>
        <v>62103</v>
      </c>
    </row>
    <row r="12" spans="2:7" ht="23.25" customHeight="1" thickBot="1" x14ac:dyDescent="0.25"/>
    <row r="13" spans="2:7" ht="23.25" customHeight="1" thickBot="1" x14ac:dyDescent="0.25">
      <c r="B13" s="45" t="s">
        <v>164</v>
      </c>
      <c r="C13" s="45"/>
      <c r="D13" s="45"/>
      <c r="E13" s="33"/>
    </row>
    <row r="14" spans="2:7" ht="23.25" customHeight="1" thickBot="1" x14ac:dyDescent="0.25">
      <c r="B14" s="45" t="s">
        <v>39</v>
      </c>
      <c r="C14" s="45"/>
      <c r="D14" s="45"/>
      <c r="E14" s="33"/>
    </row>
  </sheetData>
  <mergeCells count="2">
    <mergeCell ref="B13:D13"/>
    <mergeCell ref="B14:D14"/>
  </mergeCells>
  <phoneticPr fontId="3" type="noConversion"/>
  <dataValidations count="2">
    <dataValidation type="list" allowBlank="1" showInputMessage="1" showErrorMessage="1" sqref="C4">
      <formula1>$B$6:$B$10</formula1>
    </dataValidation>
    <dataValidation type="list" allowBlank="1" showInputMessage="1" showErrorMessage="1" sqref="E4">
      <formula1>$C$5:$F$5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workbookViewId="0">
      <selection activeCell="H24" sqref="H24"/>
    </sheetView>
  </sheetViews>
  <sheetFormatPr defaultRowHeight="17.25" customHeight="1" x14ac:dyDescent="0.2"/>
  <cols>
    <col min="1" max="1" width="9" style="19"/>
    <col min="2" max="2" width="10.75" style="19" customWidth="1"/>
    <col min="3" max="16384" width="9" style="19"/>
  </cols>
  <sheetData>
    <row r="1" spans="1:3" ht="22.5" customHeight="1" x14ac:dyDescent="0.2">
      <c r="A1" s="20" t="s">
        <v>0</v>
      </c>
      <c r="B1" s="20" t="s">
        <v>40</v>
      </c>
      <c r="C1" s="20" t="s">
        <v>41</v>
      </c>
    </row>
    <row r="2" spans="1:3" ht="17.25" customHeight="1" x14ac:dyDescent="0.2">
      <c r="B2" s="19" t="s">
        <v>42</v>
      </c>
      <c r="C2" s="19">
        <v>20</v>
      </c>
    </row>
    <row r="3" spans="1:3" ht="17.25" customHeight="1" x14ac:dyDescent="0.2">
      <c r="B3" s="19" t="s">
        <v>43</v>
      </c>
      <c r="C3" s="19">
        <v>29</v>
      </c>
    </row>
    <row r="4" spans="1:3" ht="17.25" customHeight="1" x14ac:dyDescent="0.2">
      <c r="B4" s="19" t="s">
        <v>44</v>
      </c>
      <c r="C4" s="19">
        <v>21</v>
      </c>
    </row>
    <row r="5" spans="1:3" ht="17.25" customHeight="1" x14ac:dyDescent="0.2">
      <c r="B5" s="19" t="s">
        <v>45</v>
      </c>
      <c r="C5" s="19">
        <v>26</v>
      </c>
    </row>
    <row r="6" spans="1:3" ht="17.25" customHeight="1" x14ac:dyDescent="0.2">
      <c r="B6" s="19" t="s">
        <v>46</v>
      </c>
      <c r="C6" s="19">
        <v>21</v>
      </c>
    </row>
    <row r="7" spans="1:3" ht="17.25" customHeight="1" x14ac:dyDescent="0.2">
      <c r="B7" s="19" t="s">
        <v>47</v>
      </c>
      <c r="C7" s="19">
        <v>21</v>
      </c>
    </row>
    <row r="8" spans="1:3" ht="17.25" customHeight="1" x14ac:dyDescent="0.2">
      <c r="B8" s="19" t="s">
        <v>48</v>
      </c>
      <c r="C8" s="19">
        <v>18</v>
      </c>
    </row>
    <row r="9" spans="1:3" ht="17.25" customHeight="1" x14ac:dyDescent="0.2">
      <c r="B9" s="19" t="s">
        <v>49</v>
      </c>
      <c r="C9" s="19">
        <v>30</v>
      </c>
    </row>
    <row r="10" spans="1:3" ht="17.25" customHeight="1" x14ac:dyDescent="0.2">
      <c r="B10" s="19" t="s">
        <v>50</v>
      </c>
      <c r="C10" s="19">
        <v>29</v>
      </c>
    </row>
    <row r="11" spans="1:3" ht="17.25" customHeight="1" x14ac:dyDescent="0.2">
      <c r="B11" s="19" t="s">
        <v>51</v>
      </c>
      <c r="C11" s="19">
        <v>19</v>
      </c>
    </row>
    <row r="12" spans="1:3" ht="17.25" customHeight="1" x14ac:dyDescent="0.2">
      <c r="B12" s="19" t="s">
        <v>52</v>
      </c>
      <c r="C12" s="19">
        <v>19</v>
      </c>
    </row>
    <row r="13" spans="1:3" ht="17.25" customHeight="1" x14ac:dyDescent="0.2">
      <c r="B13" s="19" t="s">
        <v>53</v>
      </c>
      <c r="C13" s="19">
        <v>24</v>
      </c>
    </row>
    <row r="14" spans="1:3" ht="17.25" customHeight="1" x14ac:dyDescent="0.2">
      <c r="B14" s="19" t="s">
        <v>54</v>
      </c>
      <c r="C14" s="19">
        <v>28</v>
      </c>
    </row>
    <row r="15" spans="1:3" ht="17.25" customHeight="1" x14ac:dyDescent="0.2">
      <c r="B15" s="19" t="s">
        <v>55</v>
      </c>
      <c r="C15" s="19">
        <v>24</v>
      </c>
    </row>
    <row r="16" spans="1:3" ht="17.25" customHeight="1" x14ac:dyDescent="0.2">
      <c r="B16" s="19" t="s">
        <v>56</v>
      </c>
      <c r="C16" s="19">
        <v>21</v>
      </c>
    </row>
    <row r="17" spans="2:3" ht="17.25" customHeight="1" x14ac:dyDescent="0.2">
      <c r="B17" s="19" t="s">
        <v>57</v>
      </c>
      <c r="C17" s="19">
        <v>24</v>
      </c>
    </row>
    <row r="18" spans="2:3" ht="17.25" customHeight="1" x14ac:dyDescent="0.2">
      <c r="B18" s="19" t="s">
        <v>58</v>
      </c>
      <c r="C18" s="19">
        <v>23</v>
      </c>
    </row>
    <row r="19" spans="2:3" ht="17.25" customHeight="1" x14ac:dyDescent="0.2">
      <c r="B19" s="19" t="s">
        <v>59</v>
      </c>
      <c r="C19" s="19">
        <v>22</v>
      </c>
    </row>
    <row r="20" spans="2:3" ht="17.25" customHeight="1" x14ac:dyDescent="0.2">
      <c r="B20" s="19" t="s">
        <v>60</v>
      </c>
      <c r="C20" s="19">
        <v>28</v>
      </c>
    </row>
    <row r="21" spans="2:3" ht="17.25" customHeight="1" x14ac:dyDescent="0.2">
      <c r="B21" s="19" t="s">
        <v>61</v>
      </c>
      <c r="C21" s="19">
        <v>22</v>
      </c>
    </row>
    <row r="22" spans="2:3" ht="17.25" customHeight="1" x14ac:dyDescent="0.2">
      <c r="B22" s="19" t="s">
        <v>62</v>
      </c>
      <c r="C22" s="19">
        <v>21</v>
      </c>
    </row>
    <row r="23" spans="2:3" ht="17.25" customHeight="1" x14ac:dyDescent="0.2">
      <c r="B23" s="19" t="s">
        <v>63</v>
      </c>
      <c r="C23" s="19">
        <v>22</v>
      </c>
    </row>
    <row r="24" spans="2:3" ht="17.25" customHeight="1" x14ac:dyDescent="0.2">
      <c r="B24" s="19" t="s">
        <v>64</v>
      </c>
      <c r="C24" s="19">
        <v>19</v>
      </c>
    </row>
    <row r="25" spans="2:3" ht="17.25" customHeight="1" x14ac:dyDescent="0.2">
      <c r="B25" s="19" t="s">
        <v>65</v>
      </c>
      <c r="C25" s="19">
        <v>26</v>
      </c>
    </row>
    <row r="26" spans="2:3" ht="17.25" customHeight="1" x14ac:dyDescent="0.2">
      <c r="B26" s="19" t="s">
        <v>66</v>
      </c>
      <c r="C26" s="19">
        <v>29</v>
      </c>
    </row>
    <row r="27" spans="2:3" ht="17.25" customHeight="1" x14ac:dyDescent="0.2">
      <c r="B27" s="19" t="s">
        <v>67</v>
      </c>
      <c r="C27" s="19">
        <v>18</v>
      </c>
    </row>
    <row r="28" spans="2:3" ht="17.25" customHeight="1" x14ac:dyDescent="0.2">
      <c r="B28" s="19" t="s">
        <v>68</v>
      </c>
      <c r="C28" s="19">
        <v>28</v>
      </c>
    </row>
    <row r="29" spans="2:3" ht="17.25" customHeight="1" x14ac:dyDescent="0.2">
      <c r="B29" s="19" t="s">
        <v>69</v>
      </c>
      <c r="C29" s="19">
        <v>19</v>
      </c>
    </row>
    <row r="30" spans="2:3" ht="17.25" customHeight="1" x14ac:dyDescent="0.2">
      <c r="B30" s="19" t="s">
        <v>70</v>
      </c>
      <c r="C30" s="19">
        <v>23</v>
      </c>
    </row>
    <row r="31" spans="2:3" ht="17.25" customHeight="1" x14ac:dyDescent="0.2">
      <c r="B31" s="19" t="s">
        <v>71</v>
      </c>
      <c r="C31" s="19">
        <v>27</v>
      </c>
    </row>
    <row r="32" spans="2:3" ht="17.25" customHeight="1" x14ac:dyDescent="0.2">
      <c r="B32" s="19" t="s">
        <v>72</v>
      </c>
      <c r="C32" s="19">
        <v>28</v>
      </c>
    </row>
    <row r="33" spans="2:3" ht="17.25" customHeight="1" x14ac:dyDescent="0.2">
      <c r="B33" s="19" t="s">
        <v>73</v>
      </c>
      <c r="C33" s="19">
        <v>20</v>
      </c>
    </row>
    <row r="34" spans="2:3" ht="17.25" customHeight="1" x14ac:dyDescent="0.2">
      <c r="B34" s="19" t="s">
        <v>74</v>
      </c>
      <c r="C34" s="19">
        <v>26</v>
      </c>
    </row>
    <row r="35" spans="2:3" ht="17.25" customHeight="1" x14ac:dyDescent="0.2">
      <c r="B35" s="19" t="s">
        <v>75</v>
      </c>
      <c r="C35" s="19">
        <v>27</v>
      </c>
    </row>
    <row r="36" spans="2:3" ht="17.25" customHeight="1" x14ac:dyDescent="0.2">
      <c r="B36" s="19" t="s">
        <v>76</v>
      </c>
      <c r="C36" s="19">
        <v>19</v>
      </c>
    </row>
    <row r="37" spans="2:3" ht="17.25" customHeight="1" x14ac:dyDescent="0.2">
      <c r="B37" s="19" t="s">
        <v>77</v>
      </c>
      <c r="C37" s="19">
        <v>25</v>
      </c>
    </row>
    <row r="38" spans="2:3" ht="17.25" customHeight="1" x14ac:dyDescent="0.2">
      <c r="B38" s="19" t="s">
        <v>78</v>
      </c>
      <c r="C38" s="19">
        <v>19</v>
      </c>
    </row>
    <row r="39" spans="2:3" ht="17.25" customHeight="1" x14ac:dyDescent="0.2">
      <c r="B39" s="19" t="s">
        <v>79</v>
      </c>
      <c r="C39" s="19">
        <v>24</v>
      </c>
    </row>
    <row r="40" spans="2:3" ht="17.25" customHeight="1" x14ac:dyDescent="0.2">
      <c r="B40" s="19" t="s">
        <v>80</v>
      </c>
      <c r="C40" s="19">
        <v>29</v>
      </c>
    </row>
    <row r="41" spans="2:3" ht="17.25" customHeight="1" x14ac:dyDescent="0.2">
      <c r="B41" s="19" t="s">
        <v>81</v>
      </c>
      <c r="C41" s="19">
        <v>22</v>
      </c>
    </row>
    <row r="42" spans="2:3" ht="17.25" customHeight="1" x14ac:dyDescent="0.2">
      <c r="B42" s="19" t="s">
        <v>82</v>
      </c>
      <c r="C42" s="19">
        <v>22</v>
      </c>
    </row>
    <row r="43" spans="2:3" ht="17.25" customHeight="1" x14ac:dyDescent="0.2">
      <c r="B43" s="19" t="s">
        <v>83</v>
      </c>
      <c r="C43" s="19">
        <v>19</v>
      </c>
    </row>
    <row r="44" spans="2:3" ht="17.25" customHeight="1" x14ac:dyDescent="0.2">
      <c r="B44" s="19" t="s">
        <v>84</v>
      </c>
      <c r="C44" s="19">
        <v>27</v>
      </c>
    </row>
    <row r="45" spans="2:3" ht="17.25" customHeight="1" x14ac:dyDescent="0.2">
      <c r="B45" s="19" t="s">
        <v>85</v>
      </c>
      <c r="C45" s="19">
        <v>22</v>
      </c>
    </row>
    <row r="46" spans="2:3" ht="17.25" customHeight="1" x14ac:dyDescent="0.2">
      <c r="B46" s="19" t="s">
        <v>86</v>
      </c>
      <c r="C46" s="19">
        <v>18</v>
      </c>
    </row>
    <row r="47" spans="2:3" ht="17.25" customHeight="1" x14ac:dyDescent="0.2">
      <c r="B47" s="19" t="s">
        <v>87</v>
      </c>
      <c r="C47" s="19">
        <v>18</v>
      </c>
    </row>
    <row r="48" spans="2:3" ht="17.25" customHeight="1" x14ac:dyDescent="0.2">
      <c r="B48" s="19" t="s">
        <v>88</v>
      </c>
      <c r="C48" s="19">
        <v>23</v>
      </c>
    </row>
    <row r="49" spans="2:3" ht="17.25" customHeight="1" x14ac:dyDescent="0.2">
      <c r="B49" s="19" t="s">
        <v>89</v>
      </c>
      <c r="C49" s="19">
        <v>26</v>
      </c>
    </row>
    <row r="50" spans="2:3" ht="17.25" customHeight="1" x14ac:dyDescent="0.2">
      <c r="B50" s="19" t="s">
        <v>90</v>
      </c>
      <c r="C50" s="19">
        <v>22</v>
      </c>
    </row>
    <row r="51" spans="2:3" ht="17.25" customHeight="1" x14ac:dyDescent="0.2">
      <c r="B51" s="19" t="s">
        <v>91</v>
      </c>
      <c r="C51" s="19">
        <v>24</v>
      </c>
    </row>
    <row r="52" spans="2:3" ht="17.25" customHeight="1" x14ac:dyDescent="0.2">
      <c r="B52" s="19" t="s">
        <v>92</v>
      </c>
      <c r="C52" s="19">
        <v>20</v>
      </c>
    </row>
    <row r="53" spans="2:3" ht="17.25" customHeight="1" x14ac:dyDescent="0.2">
      <c r="B53" s="19" t="s">
        <v>93</v>
      </c>
      <c r="C53" s="19">
        <v>27</v>
      </c>
    </row>
    <row r="54" spans="2:3" ht="17.25" customHeight="1" x14ac:dyDescent="0.2">
      <c r="B54" s="19" t="s">
        <v>94</v>
      </c>
      <c r="C54" s="19">
        <v>29</v>
      </c>
    </row>
    <row r="55" spans="2:3" ht="17.25" customHeight="1" x14ac:dyDescent="0.2">
      <c r="B55" s="19" t="s">
        <v>95</v>
      </c>
      <c r="C55" s="19">
        <v>23</v>
      </c>
    </row>
    <row r="56" spans="2:3" ht="17.25" customHeight="1" x14ac:dyDescent="0.2">
      <c r="B56" s="19" t="s">
        <v>96</v>
      </c>
      <c r="C56" s="19">
        <v>20</v>
      </c>
    </row>
    <row r="57" spans="2:3" ht="17.25" customHeight="1" x14ac:dyDescent="0.2">
      <c r="B57" s="19" t="s">
        <v>97</v>
      </c>
      <c r="C57" s="19">
        <v>28</v>
      </c>
    </row>
    <row r="58" spans="2:3" ht="17.25" customHeight="1" x14ac:dyDescent="0.2">
      <c r="B58" s="19" t="s">
        <v>98</v>
      </c>
      <c r="C58" s="19">
        <v>21</v>
      </c>
    </row>
    <row r="59" spans="2:3" ht="17.25" customHeight="1" x14ac:dyDescent="0.2">
      <c r="B59" s="19" t="s">
        <v>99</v>
      </c>
      <c r="C59" s="19">
        <v>25</v>
      </c>
    </row>
    <row r="60" spans="2:3" ht="17.25" customHeight="1" x14ac:dyDescent="0.2">
      <c r="B60" s="19" t="s">
        <v>100</v>
      </c>
      <c r="C60" s="19">
        <v>21</v>
      </c>
    </row>
    <row r="61" spans="2:3" ht="17.25" customHeight="1" x14ac:dyDescent="0.2">
      <c r="B61" s="19" t="s">
        <v>101</v>
      </c>
      <c r="C61" s="19">
        <v>22</v>
      </c>
    </row>
    <row r="62" spans="2:3" ht="17.25" customHeight="1" x14ac:dyDescent="0.2">
      <c r="B62" s="19" t="s">
        <v>102</v>
      </c>
      <c r="C62" s="19">
        <v>22</v>
      </c>
    </row>
    <row r="63" spans="2:3" ht="17.25" customHeight="1" x14ac:dyDescent="0.2">
      <c r="B63" s="19" t="s">
        <v>103</v>
      </c>
      <c r="C63" s="19">
        <v>27</v>
      </c>
    </row>
    <row r="64" spans="2:3" ht="17.25" customHeight="1" x14ac:dyDescent="0.2">
      <c r="B64" s="19" t="s">
        <v>104</v>
      </c>
      <c r="C64" s="19">
        <v>29</v>
      </c>
    </row>
    <row r="65" spans="2:3" ht="17.25" customHeight="1" x14ac:dyDescent="0.2">
      <c r="B65" s="19" t="s">
        <v>105</v>
      </c>
      <c r="C65" s="19">
        <v>25</v>
      </c>
    </row>
    <row r="66" spans="2:3" ht="17.25" customHeight="1" x14ac:dyDescent="0.2">
      <c r="B66" s="19" t="s">
        <v>106</v>
      </c>
      <c r="C66" s="19">
        <v>19</v>
      </c>
    </row>
    <row r="67" spans="2:3" ht="17.25" customHeight="1" x14ac:dyDescent="0.2">
      <c r="B67" s="19" t="s">
        <v>107</v>
      </c>
      <c r="C67" s="19">
        <v>28</v>
      </c>
    </row>
    <row r="68" spans="2:3" ht="17.25" customHeight="1" x14ac:dyDescent="0.2">
      <c r="B68" s="19" t="s">
        <v>108</v>
      </c>
      <c r="C68" s="19">
        <v>25</v>
      </c>
    </row>
    <row r="69" spans="2:3" ht="17.25" customHeight="1" x14ac:dyDescent="0.2">
      <c r="B69" s="19" t="s">
        <v>109</v>
      </c>
      <c r="C69" s="19">
        <v>30</v>
      </c>
    </row>
    <row r="70" spans="2:3" ht="17.25" customHeight="1" x14ac:dyDescent="0.2">
      <c r="B70" s="19" t="s">
        <v>110</v>
      </c>
      <c r="C70" s="19">
        <v>21</v>
      </c>
    </row>
    <row r="71" spans="2:3" ht="17.25" customHeight="1" x14ac:dyDescent="0.2">
      <c r="B71" s="19" t="s">
        <v>111</v>
      </c>
      <c r="C71" s="19">
        <v>24</v>
      </c>
    </row>
    <row r="72" spans="2:3" ht="17.25" customHeight="1" x14ac:dyDescent="0.2">
      <c r="B72" s="19" t="s">
        <v>112</v>
      </c>
      <c r="C72" s="19">
        <v>21</v>
      </c>
    </row>
    <row r="73" spans="2:3" ht="17.25" customHeight="1" x14ac:dyDescent="0.2">
      <c r="B73" s="19" t="s">
        <v>113</v>
      </c>
      <c r="C73" s="19">
        <v>18</v>
      </c>
    </row>
    <row r="74" spans="2:3" ht="17.25" customHeight="1" x14ac:dyDescent="0.2">
      <c r="B74" s="19" t="s">
        <v>114</v>
      </c>
      <c r="C74" s="19">
        <v>19</v>
      </c>
    </row>
    <row r="75" spans="2:3" ht="17.25" customHeight="1" x14ac:dyDescent="0.2">
      <c r="B75" s="19" t="s">
        <v>115</v>
      </c>
      <c r="C75" s="19">
        <v>30</v>
      </c>
    </row>
    <row r="76" spans="2:3" ht="17.25" customHeight="1" x14ac:dyDescent="0.2">
      <c r="B76" s="19" t="s">
        <v>116</v>
      </c>
      <c r="C76" s="19">
        <v>29</v>
      </c>
    </row>
    <row r="77" spans="2:3" ht="17.25" customHeight="1" x14ac:dyDescent="0.2">
      <c r="B77" s="19" t="s">
        <v>117</v>
      </c>
      <c r="C77" s="19">
        <v>18</v>
      </c>
    </row>
    <row r="78" spans="2:3" ht="17.25" customHeight="1" x14ac:dyDescent="0.2">
      <c r="B78" s="19" t="s">
        <v>118</v>
      </c>
      <c r="C78" s="19">
        <v>20</v>
      </c>
    </row>
    <row r="79" spans="2:3" ht="17.25" customHeight="1" x14ac:dyDescent="0.2">
      <c r="B79" s="19" t="s">
        <v>119</v>
      </c>
      <c r="C79" s="19">
        <v>25</v>
      </c>
    </row>
    <row r="80" spans="2:3" ht="17.25" customHeight="1" x14ac:dyDescent="0.2">
      <c r="B80" s="19" t="s">
        <v>120</v>
      </c>
      <c r="C80" s="19">
        <v>28</v>
      </c>
    </row>
    <row r="81" spans="2:3" ht="17.25" customHeight="1" x14ac:dyDescent="0.2">
      <c r="B81" s="19" t="s">
        <v>121</v>
      </c>
      <c r="C81" s="19">
        <v>26</v>
      </c>
    </row>
    <row r="82" spans="2:3" ht="17.25" customHeight="1" x14ac:dyDescent="0.2">
      <c r="B82" s="19" t="s">
        <v>122</v>
      </c>
      <c r="C82" s="19">
        <v>27</v>
      </c>
    </row>
    <row r="83" spans="2:3" ht="17.25" customHeight="1" x14ac:dyDescent="0.2">
      <c r="B83" s="19" t="s">
        <v>123</v>
      </c>
      <c r="C83" s="19">
        <v>20</v>
      </c>
    </row>
    <row r="84" spans="2:3" ht="17.25" customHeight="1" x14ac:dyDescent="0.2">
      <c r="B84" s="19" t="s">
        <v>124</v>
      </c>
      <c r="C84" s="19">
        <v>28</v>
      </c>
    </row>
    <row r="85" spans="2:3" ht="17.25" customHeight="1" x14ac:dyDescent="0.2">
      <c r="B85" s="19" t="s">
        <v>125</v>
      </c>
      <c r="C85" s="19">
        <v>21</v>
      </c>
    </row>
    <row r="86" spans="2:3" ht="17.25" customHeight="1" x14ac:dyDescent="0.2">
      <c r="B86" s="19" t="s">
        <v>126</v>
      </c>
      <c r="C86" s="19">
        <v>21</v>
      </c>
    </row>
    <row r="87" spans="2:3" ht="17.25" customHeight="1" x14ac:dyDescent="0.2">
      <c r="B87" s="19" t="s">
        <v>127</v>
      </c>
      <c r="C87" s="19">
        <v>23</v>
      </c>
    </row>
    <row r="88" spans="2:3" ht="17.25" customHeight="1" x14ac:dyDescent="0.2">
      <c r="B88" s="19" t="s">
        <v>128</v>
      </c>
      <c r="C88" s="19">
        <v>20</v>
      </c>
    </row>
    <row r="89" spans="2:3" ht="17.25" customHeight="1" x14ac:dyDescent="0.2">
      <c r="B89" s="19" t="s">
        <v>129</v>
      </c>
      <c r="C89" s="19">
        <v>29</v>
      </c>
    </row>
    <row r="90" spans="2:3" ht="17.25" customHeight="1" x14ac:dyDescent="0.2">
      <c r="B90" s="19" t="s">
        <v>130</v>
      </c>
      <c r="C90" s="19">
        <v>21</v>
      </c>
    </row>
    <row r="91" spans="2:3" ht="17.25" customHeight="1" x14ac:dyDescent="0.2">
      <c r="B91" s="19" t="s">
        <v>131</v>
      </c>
      <c r="C91" s="19">
        <v>18</v>
      </c>
    </row>
    <row r="92" spans="2:3" ht="17.25" customHeight="1" x14ac:dyDescent="0.2">
      <c r="B92" s="19" t="s">
        <v>132</v>
      </c>
      <c r="C92" s="19">
        <v>19</v>
      </c>
    </row>
    <row r="93" spans="2:3" ht="17.25" customHeight="1" x14ac:dyDescent="0.2">
      <c r="B93" s="19" t="s">
        <v>133</v>
      </c>
      <c r="C93" s="19">
        <v>23</v>
      </c>
    </row>
    <row r="94" spans="2:3" ht="17.25" customHeight="1" x14ac:dyDescent="0.2">
      <c r="B94" s="19" t="s">
        <v>134</v>
      </c>
      <c r="C94" s="19">
        <v>27</v>
      </c>
    </row>
    <row r="95" spans="2:3" ht="17.25" customHeight="1" x14ac:dyDescent="0.2">
      <c r="B95" s="19" t="s">
        <v>135</v>
      </c>
      <c r="C95" s="19">
        <v>28</v>
      </c>
    </row>
    <row r="96" spans="2:3" ht="17.25" customHeight="1" x14ac:dyDescent="0.2">
      <c r="B96" s="19" t="s">
        <v>136</v>
      </c>
      <c r="C96" s="19">
        <v>26</v>
      </c>
    </row>
    <row r="97" spans="2:3" ht="17.25" customHeight="1" x14ac:dyDescent="0.2">
      <c r="B97" s="19" t="s">
        <v>137</v>
      </c>
      <c r="C97" s="19">
        <v>27</v>
      </c>
    </row>
    <row r="98" spans="2:3" ht="17.25" customHeight="1" x14ac:dyDescent="0.2">
      <c r="B98" s="19" t="s">
        <v>138</v>
      </c>
      <c r="C98" s="19">
        <v>29</v>
      </c>
    </row>
    <row r="99" spans="2:3" ht="17.25" customHeight="1" x14ac:dyDescent="0.2">
      <c r="B99" s="19" t="s">
        <v>139</v>
      </c>
      <c r="C99" s="19">
        <v>23</v>
      </c>
    </row>
    <row r="100" spans="2:3" ht="17.25" customHeight="1" x14ac:dyDescent="0.2">
      <c r="B100" s="19" t="s">
        <v>140</v>
      </c>
      <c r="C100" s="19">
        <v>22</v>
      </c>
    </row>
    <row r="101" spans="2:3" ht="17.25" customHeight="1" x14ac:dyDescent="0.2">
      <c r="B101" s="19" t="s">
        <v>141</v>
      </c>
      <c r="C101" s="19">
        <v>21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3"/>
  <sheetViews>
    <sheetView showGridLines="0" workbookViewId="0">
      <selection activeCell="I12" sqref="I12"/>
    </sheetView>
  </sheetViews>
  <sheetFormatPr defaultColWidth="13.75" defaultRowHeight="23.25" customHeight="1" x14ac:dyDescent="0.2"/>
  <cols>
    <col min="1" max="1" width="1.25" style="19" customWidth="1"/>
    <col min="2" max="7" width="13.75" style="19"/>
    <col min="8" max="8" width="11.125" style="19" customWidth="1"/>
    <col min="9" max="9" width="22.5" style="19" customWidth="1"/>
    <col min="10" max="10" width="14.25" style="19" customWidth="1"/>
    <col min="11" max="11" width="19.625" style="19" customWidth="1"/>
    <col min="12" max="16384" width="13.75" style="19"/>
  </cols>
  <sheetData>
    <row r="1" spans="2:11" ht="6" customHeight="1" x14ac:dyDescent="0.2"/>
    <row r="2" spans="2:11" ht="30.75" customHeight="1" x14ac:dyDescent="0.2">
      <c r="B2" s="17" t="s">
        <v>35</v>
      </c>
      <c r="C2" s="18"/>
      <c r="D2" s="18"/>
      <c r="E2" s="18"/>
      <c r="F2" s="18"/>
      <c r="G2" s="18"/>
    </row>
    <row r="3" spans="2:11" ht="18.75" customHeight="1" thickBot="1" x14ac:dyDescent="0.25">
      <c r="B3" s="29" t="s">
        <v>17</v>
      </c>
      <c r="C3" s="29"/>
      <c r="D3" s="29"/>
      <c r="E3" s="29" t="s">
        <v>34</v>
      </c>
      <c r="F3" s="29"/>
      <c r="G3" s="29" t="s">
        <v>33</v>
      </c>
    </row>
    <row r="4" spans="2:11" ht="30.75" customHeight="1" thickBot="1" x14ac:dyDescent="0.25">
      <c r="B4" s="31" t="s">
        <v>18</v>
      </c>
      <c r="C4" s="31" t="s">
        <v>20</v>
      </c>
      <c r="D4" s="31" t="s">
        <v>21</v>
      </c>
      <c r="E4" s="31" t="s">
        <v>22</v>
      </c>
      <c r="F4" s="31" t="s">
        <v>24</v>
      </c>
      <c r="G4" s="31" t="s">
        <v>25</v>
      </c>
      <c r="I4" s="34" t="s">
        <v>142</v>
      </c>
      <c r="J4" s="34" t="s">
        <v>143</v>
      </c>
    </row>
    <row r="5" spans="2:11" ht="30.75" customHeight="1" x14ac:dyDescent="0.2">
      <c r="B5" s="23" t="s">
        <v>27</v>
      </c>
      <c r="C5" s="24">
        <v>4915</v>
      </c>
      <c r="D5" s="24">
        <v>3633</v>
      </c>
      <c r="E5" s="24">
        <v>1186</v>
      </c>
      <c r="F5" s="24">
        <v>3612</v>
      </c>
      <c r="G5" s="25">
        <f t="shared" ref="G5:G10" si="0">SUM(C5:F5)</f>
        <v>13346</v>
      </c>
      <c r="I5" s="35" t="s">
        <v>144</v>
      </c>
      <c r="J5" s="37" t="s">
        <v>29</v>
      </c>
    </row>
    <row r="6" spans="2:11" ht="30.75" customHeight="1" x14ac:dyDescent="0.2">
      <c r="B6" s="21" t="s">
        <v>28</v>
      </c>
      <c r="C6" s="22">
        <v>4293</v>
      </c>
      <c r="D6" s="22">
        <v>3632</v>
      </c>
      <c r="E6" s="22">
        <v>3233</v>
      </c>
      <c r="F6" s="22">
        <v>3075</v>
      </c>
      <c r="G6" s="26">
        <f t="shared" si="0"/>
        <v>14233</v>
      </c>
      <c r="I6" s="35" t="s">
        <v>145</v>
      </c>
      <c r="J6" s="37" t="s">
        <v>23</v>
      </c>
    </row>
    <row r="7" spans="2:11" ht="30.75" customHeight="1" x14ac:dyDescent="0.2">
      <c r="B7" s="23" t="s">
        <v>36</v>
      </c>
      <c r="C7" s="24">
        <v>1717</v>
      </c>
      <c r="D7" s="24">
        <v>4456</v>
      </c>
      <c r="E7" s="24">
        <v>3420</v>
      </c>
      <c r="F7" s="24">
        <v>3487</v>
      </c>
      <c r="G7" s="25">
        <f t="shared" si="0"/>
        <v>13080</v>
      </c>
      <c r="I7" s="46" t="s">
        <v>146</v>
      </c>
      <c r="J7" s="46"/>
      <c r="K7" s="20" t="s">
        <v>160</v>
      </c>
    </row>
    <row r="8" spans="2:11" ht="30.75" customHeight="1" x14ac:dyDescent="0.2">
      <c r="B8" s="21" t="s">
        <v>37</v>
      </c>
      <c r="C8" s="22">
        <v>4346</v>
      </c>
      <c r="D8" s="22">
        <v>3398</v>
      </c>
      <c r="E8" s="22">
        <v>1997</v>
      </c>
      <c r="F8" s="22">
        <v>3982</v>
      </c>
      <c r="G8" s="26">
        <f t="shared" si="0"/>
        <v>13723</v>
      </c>
      <c r="I8" s="36" t="s">
        <v>147</v>
      </c>
      <c r="J8" s="37"/>
      <c r="K8" s="38" t="s">
        <v>159</v>
      </c>
    </row>
    <row r="9" spans="2:11" ht="30.75" customHeight="1" x14ac:dyDescent="0.2">
      <c r="B9" s="23" t="s">
        <v>38</v>
      </c>
      <c r="C9" s="24">
        <v>1166</v>
      </c>
      <c r="D9" s="24">
        <v>1651</v>
      </c>
      <c r="E9" s="24">
        <v>1740</v>
      </c>
      <c r="F9" s="24">
        <v>3164</v>
      </c>
      <c r="G9" s="25">
        <f t="shared" si="0"/>
        <v>7721</v>
      </c>
      <c r="I9" s="36" t="s">
        <v>148</v>
      </c>
      <c r="J9" s="37"/>
      <c r="K9" s="38" t="s">
        <v>158</v>
      </c>
    </row>
    <row r="10" spans="2:11" ht="30.75" customHeight="1" x14ac:dyDescent="0.2">
      <c r="B10" s="27" t="s">
        <v>30</v>
      </c>
      <c r="C10" s="28">
        <f>SUM(C5:C9)</f>
        <v>16437</v>
      </c>
      <c r="D10" s="28">
        <f>SUM(D5:D9)</f>
        <v>16770</v>
      </c>
      <c r="E10" s="28">
        <f>SUM(E5:E9)</f>
        <v>11576</v>
      </c>
      <c r="F10" s="28">
        <f>SUM(F5:F9)</f>
        <v>17320</v>
      </c>
      <c r="G10" s="28">
        <f t="shared" si="0"/>
        <v>62103</v>
      </c>
      <c r="I10" s="36" t="s">
        <v>149</v>
      </c>
      <c r="J10" s="37"/>
      <c r="K10" s="38" t="s">
        <v>161</v>
      </c>
    </row>
    <row r="11" spans="2:11" ht="23.25" customHeight="1" x14ac:dyDescent="0.2">
      <c r="I11" s="36" t="s">
        <v>150</v>
      </c>
      <c r="J11" s="37"/>
      <c r="K11" s="38" t="s">
        <v>161</v>
      </c>
    </row>
    <row r="12" spans="2:11" ht="23.25" customHeight="1" x14ac:dyDescent="0.2">
      <c r="B12" s="47" t="s">
        <v>151</v>
      </c>
      <c r="C12" s="48"/>
      <c r="D12" s="48"/>
      <c r="E12" s="48"/>
      <c r="F12" s="48"/>
      <c r="G12" s="49"/>
    </row>
    <row r="13" spans="2:11" ht="23.25" customHeight="1" x14ac:dyDescent="0.2">
      <c r="B13" s="50"/>
      <c r="C13" s="51"/>
      <c r="D13" s="51"/>
      <c r="E13" s="51"/>
      <c r="F13" s="51"/>
      <c r="G13" s="52"/>
    </row>
  </sheetData>
  <mergeCells count="2">
    <mergeCell ref="I7:J7"/>
    <mergeCell ref="B12:G13"/>
  </mergeCells>
  <phoneticPr fontId="3" type="noConversion"/>
  <dataValidations count="2">
    <dataValidation type="list" allowBlank="1" showInputMessage="1" showErrorMessage="1" sqref="J5">
      <formula1>$B$5:$B$9</formula1>
    </dataValidation>
    <dataValidation type="list" allowBlank="1" showInputMessage="1" showErrorMessage="1" sqref="J6">
      <formula1>$C$4:$F$4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知识点</vt:lpstr>
      <vt:lpstr>案例1</vt:lpstr>
      <vt:lpstr>案例2</vt:lpstr>
      <vt:lpstr>练习1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zh</cp:lastModifiedBy>
  <dcterms:created xsi:type="dcterms:W3CDTF">2015-06-05T18:19:34Z</dcterms:created>
  <dcterms:modified xsi:type="dcterms:W3CDTF">2019-02-01T05:44:20Z</dcterms:modified>
</cp:coreProperties>
</file>